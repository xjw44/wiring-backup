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wenxiong/Library/Mobile Documents/com~apple~CloudDocs/0_ref/0_lab/"/>
    </mc:Choice>
  </mc:AlternateContent>
  <xr:revisionPtr revIDLastSave="0" documentId="13_ncr:1_{F042FF91-B5B5-3244-89E5-E8967BE2B756}" xr6:coauthVersionLast="47" xr6:coauthVersionMax="47" xr10:uidLastSave="{00000000-0000-0000-0000-000000000000}"/>
  <workbookProtection lockWindows="1"/>
  <bookViews>
    <workbookView xWindow="0" yWindow="600" windowWidth="23260" windowHeight="14620" tabRatio="992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C47" i="5" s="1"/>
  <c r="C48" i="5" s="1"/>
  <c r="C49" i="5" s="1"/>
  <c r="C50" i="5" s="1"/>
  <c r="C51" i="5" s="1"/>
  <c r="C52" i="5" s="1"/>
  <c r="C53" i="5" s="1"/>
  <c r="C54" i="5" s="1"/>
  <c r="C55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5" i="5"/>
  <c r="C6" i="5" s="1"/>
  <c r="C7" i="5" s="1"/>
  <c r="C8" i="5" s="1"/>
  <c r="C9" i="5" s="1"/>
  <c r="C10" i="5" s="1"/>
  <c r="C11" i="5" s="1"/>
  <c r="C12" i="5" s="1"/>
  <c r="C14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83" i="1"/>
  <c r="C82" i="1"/>
  <c r="C4" i="1"/>
  <c r="C5" i="1" s="1"/>
  <c r="C6" i="1" s="1"/>
  <c r="C7" i="1" s="1"/>
  <c r="C8" i="1" s="1"/>
  <c r="C9" i="1" s="1"/>
  <c r="C10" i="1" s="1"/>
  <c r="C11" i="1" s="1"/>
  <c r="C13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84" i="1"/>
  <c r="C85" i="1" s="1"/>
  <c r="C86" i="1" s="1"/>
  <c r="C87" i="1" s="1"/>
  <c r="C88" i="1" s="1"/>
  <c r="C89" i="1" s="1"/>
  <c r="C90" i="1" s="1"/>
  <c r="C91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45" i="1"/>
  <c r="C46" i="1" s="1"/>
  <c r="C47" i="1" s="1"/>
  <c r="C48" i="1" s="1"/>
  <c r="C49" i="1" s="1"/>
  <c r="C50" i="1" s="1"/>
  <c r="C51" i="1" s="1"/>
  <c r="C52" i="1" s="1"/>
  <c r="C53" i="1" s="1"/>
  <c r="C54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</calcChain>
</file>

<file path=xl/sharedStrings.xml><?xml version="1.0" encoding="utf-8"?>
<sst xmlns="http://schemas.openxmlformats.org/spreadsheetml/2006/main" count="1446" uniqueCount="222">
  <si>
    <t>function</t>
  </si>
  <si>
    <t>room temp.</t>
  </si>
  <si>
    <t>Cryostat.</t>
  </si>
  <si>
    <r>
      <rPr>
        <sz val="10"/>
        <rFont val="Arial"/>
        <family val="2"/>
      </rPr>
      <t>total R measured at Fischer connector</t>
    </r>
    <r>
      <rPr>
        <vertAlign val="superscript"/>
        <sz val="10"/>
        <rFont val="Arial"/>
        <family val="2"/>
      </rPr>
      <t>(3)</t>
    </r>
    <r>
      <rPr>
        <sz val="10"/>
        <rFont val="Arial"/>
        <family val="2"/>
      </rPr>
      <t xml:space="preserve"> (Ω)</t>
    </r>
  </si>
  <si>
    <t>comment</t>
  </si>
  <si>
    <t>plan</t>
  </si>
  <si>
    <t>new wiring plan</t>
  </si>
  <si>
    <t>Fischer pin#</t>
  </si>
  <si>
    <t>wiring box output connector name/pin#</t>
  </si>
  <si>
    <t xml:space="preserve">pin # </t>
  </si>
  <si>
    <t>IDR/LakeShore bridge connector name/pin#</t>
  </si>
  <si>
    <t>Pin #</t>
  </si>
  <si>
    <t>4K 25-way micro D pin#</t>
  </si>
  <si>
    <t>300K to 4K lead R (Ω)</t>
  </si>
  <si>
    <r>
      <rPr>
        <sz val="10"/>
        <color rgb="FF000000"/>
        <rFont val="Arial"/>
        <family val="2"/>
      </rPr>
      <t>sensor resistance</t>
    </r>
    <r>
      <rPr>
        <vertAlign val="superscript"/>
        <sz val="10"/>
        <color rgb="FF000000"/>
        <rFont val="Arial"/>
        <family val="2"/>
      </rPr>
      <t>(2)</t>
    </r>
    <r>
      <rPr>
        <sz val="10"/>
        <color rgb="FF000000"/>
        <rFont val="Arial"/>
        <family val="2"/>
      </rPr>
      <t xml:space="preserve"> (Ω)</t>
    </r>
  </si>
  <si>
    <r>
      <rPr>
        <sz val="10"/>
        <color rgb="FF000000"/>
        <rFont val="Arial"/>
        <family val="2"/>
      </rPr>
      <t>4K to sensor lead R</t>
    </r>
    <r>
      <rPr>
        <vertAlign val="superscript"/>
        <sz val="10"/>
        <color rgb="FF000000"/>
        <rFont val="Arial"/>
        <family val="2"/>
      </rPr>
      <t>(2)</t>
    </r>
    <r>
      <rPr>
        <sz val="10"/>
        <color rgb="FF000000"/>
        <rFont val="Arial"/>
        <family val="2"/>
      </rPr>
      <t xml:space="preserve"> (Ω)</t>
    </r>
  </si>
  <si>
    <t>side of micro D the sensor connects to</t>
  </si>
  <si>
    <t>IGH/IDR/LakeShore bridge connector name/pin#</t>
  </si>
  <si>
    <t>pin#</t>
  </si>
  <si>
    <t>Sorb Allen-Bradley I+</t>
  </si>
  <si>
    <t>DIAGNOSTIC Fischer</t>
  </si>
  <si>
    <t>IGH CRYOSTAT 37-way D</t>
  </si>
  <si>
    <t>1</t>
  </si>
  <si>
    <r>
      <rPr>
        <sz val="10"/>
        <color rgb="FF000000"/>
        <rFont val="Arial"/>
        <family val="2"/>
      </rPr>
      <t>IDR SENSOR3 9-way D</t>
    </r>
    <r>
      <rPr>
        <vertAlign val="superscript"/>
        <sz val="10"/>
        <color rgb="FF000000"/>
        <rFont val="Arial"/>
        <family val="2"/>
      </rPr>
      <t>(1)</t>
    </r>
  </si>
  <si>
    <r>
      <rPr>
        <sz val="10"/>
        <color rgb="FF000000"/>
        <rFont val="Arial"/>
        <family val="2"/>
      </rPr>
      <t>4</t>
    </r>
    <r>
      <rPr>
        <vertAlign val="superscript"/>
        <sz val="10"/>
        <color rgb="FF000000"/>
        <rFont val="Arial"/>
        <family val="2"/>
      </rPr>
      <t>(1)</t>
    </r>
  </si>
  <si>
    <t>105.0</t>
  </si>
  <si>
    <t>1.0</t>
  </si>
  <si>
    <t>0</t>
  </si>
  <si>
    <t>male</t>
  </si>
  <si>
    <t>508</t>
  </si>
  <si>
    <t>resistor broken or shorted</t>
  </si>
  <si>
    <t>install a new Ru-Ox from CUS Fischer, wire to the original IGH input, update the calibration data in LabView controller</t>
  </si>
  <si>
    <t>(Sorb sensor is moved to CUS table)</t>
  </si>
  <si>
    <t>---</t>
  </si>
  <si>
    <t>Sorb Allen-Bradley V+</t>
  </si>
  <si>
    <t>2</t>
  </si>
  <si>
    <r>
      <rPr>
        <sz val="10"/>
        <color rgb="FF000000"/>
        <rFont val="Arial"/>
        <family val="2"/>
      </rPr>
      <t>2</t>
    </r>
    <r>
      <rPr>
        <vertAlign val="superscript"/>
        <sz val="10"/>
        <color rgb="FF000000"/>
        <rFont val="Arial"/>
        <family val="2"/>
      </rPr>
      <t>(1)</t>
    </r>
  </si>
  <si>
    <t>14</t>
  </si>
  <si>
    <t>105.3</t>
  </si>
  <si>
    <t>1K pot Ru-Ox I+</t>
  </si>
  <si>
    <t>3</t>
  </si>
  <si>
    <r>
      <rPr>
        <sz val="10"/>
        <color rgb="FF000000"/>
        <rFont val="Arial"/>
        <family val="2"/>
      </rPr>
      <t>IDR SENSOR2 9-way D</t>
    </r>
    <r>
      <rPr>
        <vertAlign val="superscript"/>
        <sz val="10"/>
        <color rgb="FF000000"/>
        <rFont val="Arial"/>
        <family val="2"/>
      </rPr>
      <t>(1)</t>
    </r>
  </si>
  <si>
    <t>2.21K</t>
  </si>
  <si>
    <t>2424</t>
  </si>
  <si>
    <t>1K pot Ru-Ox V+</t>
  </si>
  <si>
    <t>4</t>
  </si>
  <si>
    <t>15</t>
  </si>
  <si>
    <t>105.4</t>
  </si>
  <si>
    <t>Still Ru-Ox I+</t>
  </si>
  <si>
    <t>Box CUS 9-way D</t>
  </si>
  <si>
    <t>(Not connected)</t>
  </si>
  <si>
    <t>2.22K</t>
  </si>
  <si>
    <t>female</t>
  </si>
  <si>
    <t>2458</t>
  </si>
  <si>
    <t>disconnected at wiring box CUS 9-way D</t>
  </si>
  <si>
    <t>connect to new SRS bridge SIM 921</t>
  </si>
  <si>
    <t xml:space="preserve">SRS bridge 9-way D </t>
  </si>
  <si>
    <t>Still Ru-Ox V+</t>
  </si>
  <si>
    <t>disconnected at CUS 9-way D</t>
  </si>
  <si>
    <t>Mixing chamber plate Ru-Ox I+</t>
  </si>
  <si>
    <t>5</t>
  </si>
  <si>
    <t>∞</t>
  </si>
  <si>
    <t>2527</t>
  </si>
  <si>
    <t>Resistor wasn't installed or broken and is also disconnected at box CUS</t>
  </si>
  <si>
    <t>Mixing chamber plate Ru-Ox V+</t>
  </si>
  <si>
    <t>6</t>
  </si>
  <si>
    <t>105.7</t>
  </si>
  <si>
    <t>install new Ru-Ox from CUS Fischer</t>
  </si>
  <si>
    <t>Mixing chamber plate Ru-Ox V-</t>
  </si>
  <si>
    <t>7</t>
  </si>
  <si>
    <t>105.2</t>
  </si>
  <si>
    <t>9</t>
  </si>
  <si>
    <t xml:space="preserve">terminated in IGH </t>
  </si>
  <si>
    <t>Mixing chamber plate Ru-Ox I-</t>
  </si>
  <si>
    <t>8</t>
  </si>
  <si>
    <t>10</t>
  </si>
  <si>
    <t>FemtoPower Ru-Ox I+</t>
  </si>
  <si>
    <t>IDR SENSOR1 9-way D</t>
  </si>
  <si>
    <t>51</t>
  </si>
  <si>
    <t>2200 (typ.)</t>
  </si>
  <si>
    <t>not through IGH</t>
  </si>
  <si>
    <t>FemtoPower Ru-Ox V+</t>
  </si>
  <si>
    <t>20</t>
  </si>
  <si>
    <t>FemtoPower Ru-Ox V-</t>
  </si>
  <si>
    <t>19</t>
  </si>
  <si>
    <t>FemtoPower Ru-Ox I-</t>
  </si>
  <si>
    <t>105.1</t>
  </si>
  <si>
    <t>Still Ru-Ox V-</t>
  </si>
  <si>
    <t>2.25K</t>
  </si>
  <si>
    <t>Still Ru-Ox I-</t>
  </si>
  <si>
    <t>IGH common I-</t>
  </si>
  <si>
    <t>17</t>
  </si>
  <si>
    <t>IGH common V/I are shorted in cryostat female D</t>
  </si>
  <si>
    <t>IGH common V-</t>
  </si>
  <si>
    <t>18</t>
  </si>
  <si>
    <t>Sorb heater</t>
  </si>
  <si>
    <r>
      <rPr>
        <sz val="10"/>
        <color rgb="FF000000"/>
        <rFont val="Arial"/>
        <family val="2"/>
      </rPr>
      <t>IDR DILUTION UNIT 9-way D</t>
    </r>
    <r>
      <rPr>
        <vertAlign val="superscript"/>
        <sz val="10"/>
        <color rgb="FF000000"/>
        <rFont val="Arial"/>
        <family val="2"/>
      </rPr>
      <t>(1)</t>
    </r>
  </si>
  <si>
    <t>3.5</t>
  </si>
  <si>
    <t>66</t>
  </si>
  <si>
    <t>85 (typ.)</t>
  </si>
  <si>
    <r>
      <rPr>
        <sz val="10"/>
        <color rgb="FF000000"/>
        <rFont val="Arial"/>
        <family val="2"/>
      </rPr>
      <t>1</t>
    </r>
    <r>
      <rPr>
        <vertAlign val="superscript"/>
        <sz val="10"/>
        <color rgb="FF000000"/>
        <rFont val="Arial"/>
        <family val="2"/>
      </rPr>
      <t>(1)</t>
    </r>
  </si>
  <si>
    <t>Still heater</t>
  </si>
  <si>
    <t>21</t>
  </si>
  <si>
    <t>3.7</t>
  </si>
  <si>
    <t>517</t>
  </si>
  <si>
    <t>500 (typ.)</t>
  </si>
  <si>
    <t>open circuit in Fischer#22 in (male Fischer cable↔wiring box 12Ω)</t>
  </si>
  <si>
    <t xml:space="preserve">new wiring </t>
  </si>
  <si>
    <t>22</t>
  </si>
  <si>
    <r>
      <rPr>
        <sz val="10"/>
        <color rgb="FF000000"/>
        <rFont val="Arial"/>
        <family val="2"/>
      </rPr>
      <t>3</t>
    </r>
    <r>
      <rPr>
        <vertAlign val="superscript"/>
        <sz val="10"/>
        <color rgb="FF000000"/>
        <rFont val="Arial"/>
        <family val="2"/>
      </rPr>
      <t>(1)</t>
    </r>
  </si>
  <si>
    <t>3.6</t>
  </si>
  <si>
    <t>Mixing chamber heater</t>
  </si>
  <si>
    <t>alligator clip</t>
  </si>
  <si>
    <t>red</t>
  </si>
  <si>
    <t>HEATER OUTPUT BNC</t>
  </si>
  <si>
    <t>signal (red clip)</t>
  </si>
  <si>
    <t>591</t>
  </si>
  <si>
    <t>originally connected to IGH CRYOSTAT 37-way D pin 23, connection broken inside wiring box</t>
  </si>
  <si>
    <t>LakeShore 370 HEATER OUTPUT</t>
  </si>
  <si>
    <t>BNC signal</t>
  </si>
  <si>
    <t>black</t>
  </si>
  <si>
    <t>shield (black clip)</t>
  </si>
  <si>
    <t>originally connected to IGH CRYOSTAT 37-way D pin 24, connection broken inside wiring box</t>
  </si>
  <si>
    <t>BNC shield</t>
  </si>
  <si>
    <t>(1) As noted in manual.</t>
  </si>
  <si>
    <t xml:space="preserve">(2) measured from the 4K 25-way micro D connectors, 0 lead resistance implies I and V leads of the same polarity are shorted as two-lead scheme. </t>
  </si>
  <si>
    <t xml:space="preserve">(3) i.e. (sensor R) + 2 x (300K→4K lead R) + 2 x (4k→sensor lead R), all measured under room temp. “(typ.)” indicates the typical value for the sensor/heater alone given in the manual. numbers are under room temp. </t>
  </si>
  <si>
    <t xml:space="preserve">most recent update </t>
  </si>
  <si>
    <t>mulfunctions</t>
  </si>
  <si>
    <t>need to be specified</t>
  </si>
  <si>
    <t>(other colors)</t>
  </si>
  <si>
    <t>shorted pairs for HEMT</t>
  </si>
  <si>
    <t>Cryostat</t>
  </si>
  <si>
    <t>Fischer branching cable connector name/pin#</t>
  </si>
  <si>
    <t>Short circuit on 25-way female D</t>
  </si>
  <si>
    <t>IGH/power supply/LakeShore connector name/pin#</t>
  </si>
  <si>
    <r>
      <rPr>
        <sz val="10"/>
        <color rgb="FF000000"/>
        <rFont val="Arial"/>
        <family val="2"/>
      </rPr>
      <t>4K plate 2</t>
    </r>
    <r>
      <rPr>
        <vertAlign val="superscript"/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HEMT  Vd</t>
    </r>
    <r>
      <rPr>
        <vertAlign val="superscript"/>
        <sz val="10"/>
        <color rgb="FF000000"/>
        <rFont val="Arial"/>
        <family val="2"/>
      </rPr>
      <t>(1)</t>
    </r>
  </si>
  <si>
    <t>CUSTOMER</t>
  </si>
  <si>
    <t>power supply 9-way D</t>
  </si>
  <si>
    <t>105.8</t>
  </si>
  <si>
    <t>save for future installation</t>
  </si>
  <si>
    <t xml:space="preserve">Future heater </t>
  </si>
  <si>
    <t>Float 9-way D</t>
  </si>
  <si>
    <t>104.8</t>
  </si>
  <si>
    <r>
      <rPr>
        <sz val="10"/>
        <color rgb="FF000000"/>
        <rFont val="Arial"/>
        <family val="2"/>
      </rPr>
      <t>4K plate 1st HEMT  Vd</t>
    </r>
    <r>
      <rPr>
        <vertAlign val="superscript"/>
        <sz val="10"/>
        <color rgb="FF000000"/>
        <rFont val="Arial"/>
        <family val="2"/>
      </rPr>
      <t>(1)</t>
    </r>
  </si>
  <si>
    <t>soldering at micro D looks fragile</t>
  </si>
  <si>
    <t>resolder</t>
  </si>
  <si>
    <t>104.9</t>
  </si>
  <si>
    <t xml:space="preserve">save for new sorb Ru-Ox </t>
  </si>
  <si>
    <t>install a new sorb Ru-Ox on 4K female micro D and short common I/V</t>
  </si>
  <si>
    <t>Sorb Ru-Ox I+</t>
  </si>
  <si>
    <t xml:space="preserve">install a new A-B </t>
  </si>
  <si>
    <t>Sorb Ru-Ox V+</t>
  </si>
  <si>
    <t>Future 4-lead thermometer I+</t>
  </si>
  <si>
    <t>Future 4-lead thermometer V+</t>
  </si>
  <si>
    <t>Future 4-lead thermometer V-</t>
  </si>
  <si>
    <t>Future 4-lead thermometer I-</t>
  </si>
  <si>
    <t>Future 4-lead thermometer I shield</t>
  </si>
  <si>
    <t>Future 4-lead thermometer V shield</t>
  </si>
  <si>
    <t>4K plate HEMT common GND</t>
  </si>
  <si>
    <r>
      <rPr>
        <sz val="10"/>
        <color rgb="FF000000"/>
        <rFont val="Arial"/>
        <family val="2"/>
      </rPr>
      <t>4K plate 1st HEMT  Vg</t>
    </r>
    <r>
      <rPr>
        <vertAlign val="superscript"/>
        <sz val="10"/>
        <color rgb="FF000000"/>
        <rFont val="Arial"/>
        <family val="2"/>
      </rPr>
      <t>(1)</t>
    </r>
  </si>
  <si>
    <t>106.3</t>
  </si>
  <si>
    <t>save for IGH common V/I</t>
  </si>
  <si>
    <r>
      <rPr>
        <sz val="10"/>
        <color rgb="FF000000"/>
        <rFont val="Arial"/>
        <family val="2"/>
      </rPr>
      <t>4K plate 2nd HEMT  Vg</t>
    </r>
    <r>
      <rPr>
        <vertAlign val="superscript"/>
        <sz val="10"/>
        <color rgb="FF000000"/>
        <rFont val="Arial"/>
        <family val="2"/>
      </rPr>
      <t>(1)</t>
    </r>
  </si>
  <si>
    <t>23</t>
  </si>
  <si>
    <t>104.4</t>
  </si>
  <si>
    <t>Sample plate Ru-Ox I-</t>
  </si>
  <si>
    <t>LS 370 INPUT I 6-way DIN45322</t>
  </si>
  <si>
    <t>2.02K</t>
  </si>
  <si>
    <t>8.5</t>
  </si>
  <si>
    <t>Sample plate Ru-Ox V+</t>
  </si>
  <si>
    <t>LS 370 INPUT V 6-way DIN45322</t>
  </si>
  <si>
    <t>Sample plate Ru-Ox V-</t>
  </si>
  <si>
    <t>104.6</t>
  </si>
  <si>
    <t>Sample plate Ru-Ox I+</t>
  </si>
  <si>
    <r>
      <rPr>
        <sz val="10"/>
        <rFont val="Arial"/>
        <family val="2"/>
      </rPr>
      <t>Shields of twisted pairs should be tied to dewar body ONLY</t>
    </r>
    <r>
      <rPr>
        <vertAlign val="superscript"/>
        <sz val="10"/>
        <rFont val="Arial"/>
        <family val="2"/>
      </rPr>
      <t>(3)</t>
    </r>
  </si>
  <si>
    <t>Sample plate Ru-Ox I shield</t>
  </si>
  <si>
    <t>Sample plate Ru-Ox V shield</t>
  </si>
  <si>
    <t>(1) cable is too short to measure. Might misidentify HEMT1 and HEMT2</t>
  </si>
  <si>
    <t xml:space="preserve">(2) measured from the 4K 25-way micro D connector. </t>
  </si>
  <si>
    <t>(3) The twisted pairs for LS 370's I and V leads should be shielded separately, connected to the “shield” pins on LS 370, terminated on dewer body, and isolated from any other connection to earth/chassis ground. Refer to LS 370 manual, sec. 3.4 for detail.</t>
  </si>
  <si>
    <t>DB50 PIN No.</t>
  </si>
  <si>
    <t>N/A</t>
  </si>
  <si>
    <t xml:space="preserve">DB50 PIN Pair </t>
  </si>
  <si>
    <t>R at DB50 b/w pairs</t>
  </si>
  <si>
    <t>2.439k</t>
  </si>
  <si>
    <t>2.441k</t>
  </si>
  <si>
    <t>2.476k</t>
  </si>
  <si>
    <t>2.474k</t>
  </si>
  <si>
    <t>2.512k</t>
  </si>
  <si>
    <t>2.517k</t>
  </si>
  <si>
    <t>R at Fischer Connector</t>
  </si>
  <si>
    <t>Fischer Pin No.</t>
  </si>
  <si>
    <t>Fischer Pin Pair</t>
  </si>
  <si>
    <t>17/18 shorted on Fischer</t>
  </si>
  <si>
    <r>
      <t>4K plate 2</t>
    </r>
    <r>
      <rPr>
        <vertAlign val="superscript"/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HEMT  Vd</t>
    </r>
    <r>
      <rPr>
        <vertAlign val="superscript"/>
        <sz val="10"/>
        <color rgb="FF000000"/>
        <rFont val="Arial"/>
        <family val="2"/>
      </rPr>
      <t>(1)</t>
    </r>
  </si>
  <si>
    <t>Doesn't look like pin 15 on the fischer connector is actually connected to 24 on the db50, but it is working on the 4K microdsub</t>
  </si>
  <si>
    <t>I couldn't see Fischer pin 24 on the customer dsub</t>
  </si>
  <si>
    <t>MC Micro Dsub</t>
  </si>
  <si>
    <t>Customer Fischer Connector</t>
  </si>
  <si>
    <t>NC</t>
  </si>
  <si>
    <t>Wiring Plan For New DR</t>
  </si>
  <si>
    <t>3 Port Switch 1 E1</t>
  </si>
  <si>
    <t>3 Port Switch 1 E2</t>
  </si>
  <si>
    <t>25</t>
  </si>
  <si>
    <t>NEED TO FIND WIRING FOR 5 PORT SWITCH E1 AND E2</t>
  </si>
  <si>
    <t>Sample Plate Ru-Ox I-</t>
  </si>
  <si>
    <t>Sample Plate Ru-Ox I+</t>
  </si>
  <si>
    <t>Sample Plate Ru-Ox V+</t>
  </si>
  <si>
    <t>Sample Plate Ru-Ox V-</t>
  </si>
  <si>
    <t>NO CONNECTION</t>
  </si>
  <si>
    <t>497</t>
  </si>
  <si>
    <t>+24V</t>
  </si>
  <si>
    <t>5 Port Switch E1</t>
  </si>
  <si>
    <t>3 Port Switch 2 E1</t>
  </si>
  <si>
    <t>3 Port Switch 2 E2</t>
  </si>
  <si>
    <t>5 Port Switch E2</t>
  </si>
  <si>
    <t>R at DB50 b/w pairs; new cable</t>
  </si>
  <si>
    <t>"</t>
  </si>
  <si>
    <t>R at DB50 b/w pairs; new cable; fixed 1k pot; 20260423</t>
  </si>
  <si>
    <t>2.4k</t>
  </si>
  <si>
    <t>2.5k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</si>
</sst>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rgb="FF00000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6600"/>
      </patternFill>
    </fill>
    <fill>
      <patternFill patternType="solid">
        <fgColor rgb="FFFF99FF"/>
        <bgColor rgb="FFCC99FF"/>
      </patternFill>
    </fill>
    <fill>
      <patternFill patternType="solid">
        <fgColor rgb="FFCFE7F5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99"/>
        <bgColor rgb="FFFFFF99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 wrapText="1"/>
    </xf>
    <xf numFmtId="49" fontId="1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 wrapText="1"/>
    </xf>
    <xf numFmtId="49" fontId="1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49" fontId="1" fillId="11" borderId="0" xfId="0" applyNumberFormat="1" applyFont="1" applyFill="1" applyAlignment="1">
      <alignment horizontal="center" vertical="center"/>
    </xf>
    <xf numFmtId="0" fontId="0" fillId="11" borderId="0" xfId="0" applyFill="1"/>
    <xf numFmtId="0" fontId="1" fillId="13" borderId="0" xfId="0" applyFont="1" applyFill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textRotation="90"/>
    </xf>
    <xf numFmtId="49" fontId="1" fillId="13" borderId="1" xfId="0" applyNumberFormat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/>
    </xf>
    <xf numFmtId="0" fontId="0" fillId="13" borderId="0" xfId="0" applyFill="1"/>
    <xf numFmtId="49" fontId="1" fillId="0" borderId="1" xfId="0" applyNumberFormat="1" applyFont="1" applyBorder="1" applyAlignment="1">
      <alignment horizontal="center" vertical="center" textRotation="90"/>
    </xf>
    <xf numFmtId="49" fontId="1" fillId="1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textRotation="90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textRotation="90"/>
    </xf>
    <xf numFmtId="49" fontId="1" fillId="0" borderId="7" xfId="0" applyNumberFormat="1" applyFont="1" applyBorder="1" applyAlignment="1">
      <alignment horizontal="center" vertical="center" textRotation="90"/>
    </xf>
    <xf numFmtId="49" fontId="1" fillId="0" borderId="3" xfId="0" applyNumberFormat="1" applyFont="1" applyBorder="1" applyAlignment="1">
      <alignment horizontal="center" vertical="center" textRotation="90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49" fontId="1" fillId="13" borderId="2" xfId="0" applyNumberFormat="1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1" fillId="12" borderId="1" xfId="0" applyNumberFormat="1" applyFont="1" applyFill="1" applyBorder="1" applyAlignment="1">
      <alignment horizontal="center" vertical="center" textRotation="90"/>
    </xf>
    <xf numFmtId="49" fontId="1" fillId="13" borderId="1" xfId="0" applyNumberFormat="1" applyFont="1" applyFill="1" applyBorder="1" applyAlignment="1">
      <alignment horizontal="center" vertical="center" textRotation="90"/>
    </xf>
    <xf numFmtId="0" fontId="0" fillId="13" borderId="1" xfId="0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FE7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99"/>
      <rgbColor rgb="FFFFFF99"/>
      <rgbColor rgb="FF99CCFF"/>
      <rgbColor rgb="FFFF99F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111"/>
  <sheetViews>
    <sheetView windowProtection="1" zoomScale="75" zoomScaleNormal="75" workbookViewId="0">
      <pane xSplit="1" topLeftCell="M1" activePane="topRight" state="frozen"/>
      <selection activeCell="A31" sqref="A31"/>
      <selection pane="topRight" activeCell="C5" sqref="C5"/>
    </sheetView>
  </sheetViews>
  <sheetFormatPr baseColWidth="10" defaultColWidth="8.83203125" defaultRowHeight="13" x14ac:dyDescent="0.15"/>
  <cols>
    <col min="1" max="1" width="28.5" style="9"/>
    <col min="2" max="2" width="3.6640625" style="10"/>
    <col min="3" max="3" width="10.33203125" style="10"/>
    <col min="4" max="4" width="30" style="10"/>
    <col min="5" max="5" width="16.33203125" style="10"/>
    <col min="6" max="6" width="27.33203125" style="10"/>
    <col min="7" max="7" width="15.6640625" style="10"/>
    <col min="8" max="8" width="9.5" style="10"/>
    <col min="9" max="9" width="8.33203125" style="10"/>
    <col min="10" max="10" width="11.1640625" style="10"/>
    <col min="11" max="11" width="28.6640625" style="10"/>
    <col min="12" max="12" width="36.6640625" style="10"/>
    <col min="13" max="13" width="33.6640625" style="10"/>
    <col min="14" max="14" width="58.33203125" style="10"/>
    <col min="15" max="15" width="53.5" style="10"/>
    <col min="16" max="16" width="24.5" style="10"/>
    <col min="17" max="17" width="30.33203125" style="10"/>
    <col min="18" max="18" width="12.6640625" style="10"/>
    <col min="19" max="19" width="14.6640625" style="10"/>
    <col min="20" max="1025" width="11.6640625" style="10"/>
  </cols>
  <sheetData>
    <row r="1" spans="1:1024" ht="12.75" customHeight="1" x14ac:dyDescent="0.15">
      <c r="A1" s="54" t="s">
        <v>0</v>
      </c>
      <c r="B1" s="54"/>
      <c r="C1" s="54" t="s">
        <v>1</v>
      </c>
      <c r="D1" s="54"/>
      <c r="E1" s="54"/>
      <c r="F1" s="54"/>
      <c r="G1" s="54"/>
      <c r="H1" s="54" t="s">
        <v>2</v>
      </c>
      <c r="I1" s="54"/>
      <c r="J1" s="54"/>
      <c r="K1" s="54"/>
      <c r="L1" s="54"/>
      <c r="M1" s="55" t="s">
        <v>3</v>
      </c>
      <c r="N1" s="54" t="s">
        <v>4</v>
      </c>
      <c r="O1" s="54" t="s">
        <v>5</v>
      </c>
      <c r="P1" s="54" t="s">
        <v>6</v>
      </c>
      <c r="Q1" s="54"/>
      <c r="R1" s="54"/>
      <c r="AMF1" s="11"/>
      <c r="AMG1" s="11"/>
      <c r="AMH1" s="11"/>
      <c r="AMI1" s="11"/>
      <c r="AMJ1" s="1"/>
    </row>
    <row r="2" spans="1:1024" s="12" customFormat="1" ht="52.75" customHeight="1" x14ac:dyDescent="0.15">
      <c r="A2" s="54"/>
      <c r="B2" s="54"/>
      <c r="C2" s="7" t="s">
        <v>7</v>
      </c>
      <c r="D2" s="56" t="s">
        <v>8</v>
      </c>
      <c r="E2" s="56" t="s">
        <v>9</v>
      </c>
      <c r="F2" s="56" t="s">
        <v>10</v>
      </c>
      <c r="G2" s="56" t="s">
        <v>11</v>
      </c>
      <c r="H2" s="7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55"/>
      <c r="N2" s="55"/>
      <c r="O2" s="55"/>
      <c r="P2" s="7" t="s">
        <v>0</v>
      </c>
      <c r="Q2" s="56" t="s">
        <v>17</v>
      </c>
      <c r="R2" s="56" t="s">
        <v>18</v>
      </c>
      <c r="AMG2" s="13"/>
      <c r="AMH2" s="13"/>
      <c r="AMI2" s="13"/>
      <c r="AMJ2" s="14"/>
    </row>
    <row r="3" spans="1:1024" ht="14.75" customHeight="1" x14ac:dyDescent="0.15">
      <c r="A3" s="8" t="s">
        <v>19</v>
      </c>
      <c r="B3" s="58" t="s">
        <v>20</v>
      </c>
      <c r="C3" s="8">
        <v>1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22</v>
      </c>
      <c r="I3" s="8" t="s">
        <v>25</v>
      </c>
      <c r="J3" s="6" t="s">
        <v>26</v>
      </c>
      <c r="K3" s="8" t="s">
        <v>27</v>
      </c>
      <c r="L3" s="8" t="s">
        <v>28</v>
      </c>
      <c r="M3" s="8" t="s">
        <v>29</v>
      </c>
      <c r="N3" s="54" t="s">
        <v>30</v>
      </c>
      <c r="O3" s="56" t="s">
        <v>31</v>
      </c>
      <c r="P3" s="54" t="s">
        <v>32</v>
      </c>
      <c r="Q3" s="54" t="s">
        <v>33</v>
      </c>
      <c r="R3" s="54" t="s">
        <v>33</v>
      </c>
      <c r="AMG3" s="11"/>
      <c r="AMH3" s="11"/>
      <c r="AMI3" s="11"/>
      <c r="AMJ3" s="1"/>
    </row>
    <row r="4" spans="1:1024" ht="15" x14ac:dyDescent="0.15">
      <c r="A4" s="8" t="s">
        <v>34</v>
      </c>
      <c r="B4" s="58"/>
      <c r="C4" s="8">
        <f t="shared" ref="C4:C11" si="0">C3+1</f>
        <v>2</v>
      </c>
      <c r="D4" s="8" t="s">
        <v>21</v>
      </c>
      <c r="E4" s="8" t="s">
        <v>35</v>
      </c>
      <c r="F4" s="8" t="s">
        <v>23</v>
      </c>
      <c r="G4" s="8" t="s">
        <v>36</v>
      </c>
      <c r="H4" s="8" t="s">
        <v>37</v>
      </c>
      <c r="I4" s="8" t="s">
        <v>38</v>
      </c>
      <c r="J4" s="6" t="s">
        <v>26</v>
      </c>
      <c r="K4" s="8" t="s">
        <v>27</v>
      </c>
      <c r="L4" s="8" t="s">
        <v>28</v>
      </c>
      <c r="M4" s="8" t="s">
        <v>29</v>
      </c>
      <c r="N4" s="54" t="s">
        <v>30</v>
      </c>
      <c r="O4" s="56"/>
      <c r="P4" s="54" t="s">
        <v>32</v>
      </c>
      <c r="Q4" s="54" t="s">
        <v>33</v>
      </c>
      <c r="R4" s="54" t="s">
        <v>33</v>
      </c>
      <c r="AMG4" s="11"/>
      <c r="AMH4" s="11"/>
      <c r="AMI4" s="11"/>
      <c r="AMJ4" s="1"/>
    </row>
    <row r="5" spans="1:1024" ht="15" x14ac:dyDescent="0.15">
      <c r="A5" s="8" t="s">
        <v>39</v>
      </c>
      <c r="B5" s="58"/>
      <c r="C5" s="8">
        <f t="shared" si="0"/>
        <v>3</v>
      </c>
      <c r="D5" s="8" t="s">
        <v>21</v>
      </c>
      <c r="E5" s="8" t="s">
        <v>40</v>
      </c>
      <c r="F5" s="8" t="s">
        <v>41</v>
      </c>
      <c r="G5" s="8" t="s">
        <v>24</v>
      </c>
      <c r="H5" s="8" t="s">
        <v>35</v>
      </c>
      <c r="I5" s="8" t="s">
        <v>25</v>
      </c>
      <c r="J5" s="8" t="s">
        <v>42</v>
      </c>
      <c r="K5" s="8" t="s">
        <v>27</v>
      </c>
      <c r="L5" s="8" t="s">
        <v>28</v>
      </c>
      <c r="M5" s="8" t="s">
        <v>43</v>
      </c>
      <c r="N5" s="8"/>
      <c r="O5" s="8"/>
      <c r="P5" s="8" t="s">
        <v>39</v>
      </c>
      <c r="Q5" s="8" t="s">
        <v>21</v>
      </c>
      <c r="R5" s="8" t="s">
        <v>40</v>
      </c>
      <c r="AMG5" s="11"/>
      <c r="AMH5" s="11"/>
      <c r="AMI5" s="11"/>
      <c r="AMJ5" s="1"/>
    </row>
    <row r="6" spans="1:1024" ht="15" x14ac:dyDescent="0.15">
      <c r="A6" s="8" t="s">
        <v>44</v>
      </c>
      <c r="B6" s="58"/>
      <c r="C6" s="8">
        <f t="shared" si="0"/>
        <v>4</v>
      </c>
      <c r="D6" s="8" t="s">
        <v>21</v>
      </c>
      <c r="E6" s="8" t="s">
        <v>45</v>
      </c>
      <c r="F6" s="8" t="s">
        <v>41</v>
      </c>
      <c r="G6" s="8" t="s">
        <v>36</v>
      </c>
      <c r="H6" s="8" t="s">
        <v>46</v>
      </c>
      <c r="I6" s="8" t="s">
        <v>47</v>
      </c>
      <c r="J6" s="8" t="s">
        <v>42</v>
      </c>
      <c r="K6" s="8" t="s">
        <v>27</v>
      </c>
      <c r="L6" s="8" t="s">
        <v>28</v>
      </c>
      <c r="M6" s="8" t="s">
        <v>43</v>
      </c>
      <c r="N6" s="8"/>
      <c r="O6" s="8"/>
      <c r="P6" s="8" t="s">
        <v>44</v>
      </c>
      <c r="Q6" s="8" t="s">
        <v>21</v>
      </c>
      <c r="R6" s="8" t="s">
        <v>45</v>
      </c>
      <c r="AMG6" s="11"/>
      <c r="AMH6" s="11"/>
      <c r="AMI6" s="11"/>
      <c r="AMJ6" s="1"/>
    </row>
    <row r="7" spans="1:1024" ht="12.75" customHeight="1" x14ac:dyDescent="0.15">
      <c r="A7" s="8" t="s">
        <v>48</v>
      </c>
      <c r="B7" s="58"/>
      <c r="C7" s="8">
        <f t="shared" si="0"/>
        <v>5</v>
      </c>
      <c r="D7" s="8" t="s">
        <v>49</v>
      </c>
      <c r="E7" s="8" t="s">
        <v>22</v>
      </c>
      <c r="F7" s="6" t="s">
        <v>50</v>
      </c>
      <c r="G7" s="8" t="s">
        <v>33</v>
      </c>
      <c r="H7" s="8">
        <v>3</v>
      </c>
      <c r="I7" s="8" t="s">
        <v>47</v>
      </c>
      <c r="J7" s="8" t="s">
        <v>51</v>
      </c>
      <c r="K7" s="8" t="s">
        <v>27</v>
      </c>
      <c r="L7" s="8" t="s">
        <v>52</v>
      </c>
      <c r="M7" s="8" t="s">
        <v>53</v>
      </c>
      <c r="N7" s="54" t="s">
        <v>54</v>
      </c>
      <c r="O7" s="56" t="s">
        <v>55</v>
      </c>
      <c r="P7" s="8" t="s">
        <v>48</v>
      </c>
      <c r="Q7" s="8" t="s">
        <v>56</v>
      </c>
      <c r="R7" s="5" t="s">
        <v>22</v>
      </c>
      <c r="AMG7" s="11"/>
      <c r="AMH7" s="11"/>
      <c r="AMI7" s="11"/>
      <c r="AMJ7" s="1"/>
    </row>
    <row r="8" spans="1:1024" x14ac:dyDescent="0.15">
      <c r="A8" s="8" t="s">
        <v>57</v>
      </c>
      <c r="B8" s="58"/>
      <c r="C8" s="8">
        <f t="shared" si="0"/>
        <v>6</v>
      </c>
      <c r="D8" s="8" t="s">
        <v>49</v>
      </c>
      <c r="E8" s="8" t="s">
        <v>35</v>
      </c>
      <c r="F8" s="6" t="s">
        <v>50</v>
      </c>
      <c r="G8" s="8" t="s">
        <v>33</v>
      </c>
      <c r="H8" s="8">
        <v>16</v>
      </c>
      <c r="I8" s="8" t="s">
        <v>47</v>
      </c>
      <c r="J8" s="8" t="s">
        <v>51</v>
      </c>
      <c r="K8" s="8" t="s">
        <v>27</v>
      </c>
      <c r="L8" s="8" t="s">
        <v>52</v>
      </c>
      <c r="M8" s="8" t="s">
        <v>53</v>
      </c>
      <c r="N8" s="54" t="s">
        <v>54</v>
      </c>
      <c r="O8" s="56" t="s">
        <v>58</v>
      </c>
      <c r="P8" s="8" t="s">
        <v>57</v>
      </c>
      <c r="Q8" s="8" t="s">
        <v>56</v>
      </c>
      <c r="R8" s="5" t="s">
        <v>45</v>
      </c>
      <c r="AMG8" s="11"/>
      <c r="AMH8" s="11"/>
      <c r="AMI8" s="11"/>
      <c r="AMJ8" s="1"/>
    </row>
    <row r="9" spans="1:1024" ht="12.75" customHeight="1" x14ac:dyDescent="0.15">
      <c r="A9" s="8" t="s">
        <v>59</v>
      </c>
      <c r="B9" s="58"/>
      <c r="C9" s="8">
        <f t="shared" si="0"/>
        <v>7</v>
      </c>
      <c r="D9" s="8" t="s">
        <v>49</v>
      </c>
      <c r="E9" s="8" t="s">
        <v>60</v>
      </c>
      <c r="F9" s="8" t="s">
        <v>50</v>
      </c>
      <c r="G9" s="8" t="s">
        <v>33</v>
      </c>
      <c r="H9" s="8">
        <v>4</v>
      </c>
      <c r="I9" s="8" t="s">
        <v>47</v>
      </c>
      <c r="J9" s="6" t="s">
        <v>61</v>
      </c>
      <c r="K9" s="8" t="s">
        <v>27</v>
      </c>
      <c r="L9" s="8" t="s">
        <v>52</v>
      </c>
      <c r="M9" s="8" t="s">
        <v>62</v>
      </c>
      <c r="N9" s="56" t="s">
        <v>63</v>
      </c>
      <c r="O9" s="56" t="s">
        <v>33</v>
      </c>
      <c r="P9" s="8" t="s">
        <v>33</v>
      </c>
      <c r="Q9" s="8" t="s">
        <v>33</v>
      </c>
      <c r="R9" s="5" t="s">
        <v>33</v>
      </c>
      <c r="AMG9" s="11"/>
      <c r="AMH9" s="11"/>
      <c r="AMI9" s="11"/>
      <c r="AMJ9" s="1"/>
    </row>
    <row r="10" spans="1:1024" x14ac:dyDescent="0.15">
      <c r="A10" s="8" t="s">
        <v>64</v>
      </c>
      <c r="B10" s="58"/>
      <c r="C10" s="8">
        <f t="shared" si="0"/>
        <v>8</v>
      </c>
      <c r="D10" s="8" t="s">
        <v>49</v>
      </c>
      <c r="E10" s="8" t="s">
        <v>65</v>
      </c>
      <c r="F10" s="8" t="s">
        <v>50</v>
      </c>
      <c r="G10" s="8" t="s">
        <v>33</v>
      </c>
      <c r="H10" s="8">
        <v>17</v>
      </c>
      <c r="I10" s="8" t="s">
        <v>66</v>
      </c>
      <c r="J10" s="6" t="s">
        <v>61</v>
      </c>
      <c r="K10" s="8" t="s">
        <v>27</v>
      </c>
      <c r="L10" s="8" t="s">
        <v>52</v>
      </c>
      <c r="M10" s="8" t="s">
        <v>62</v>
      </c>
      <c r="N10" s="56"/>
      <c r="O10" s="56" t="s">
        <v>67</v>
      </c>
      <c r="P10" s="8" t="s">
        <v>33</v>
      </c>
      <c r="Q10" s="8" t="s">
        <v>33</v>
      </c>
      <c r="R10" s="5" t="s">
        <v>33</v>
      </c>
      <c r="AMG10" s="11"/>
      <c r="AMH10" s="11"/>
      <c r="AMI10" s="11"/>
      <c r="AMJ10" s="1"/>
    </row>
    <row r="11" spans="1:1024" x14ac:dyDescent="0.15">
      <c r="A11" s="54" t="s">
        <v>68</v>
      </c>
      <c r="B11" s="58"/>
      <c r="C11" s="54">
        <f t="shared" si="0"/>
        <v>9</v>
      </c>
      <c r="D11" s="8" t="s">
        <v>49</v>
      </c>
      <c r="E11" s="8" t="s">
        <v>69</v>
      </c>
      <c r="F11" s="8" t="s">
        <v>50</v>
      </c>
      <c r="G11" s="8" t="s">
        <v>33</v>
      </c>
      <c r="H11" s="54">
        <v>5</v>
      </c>
      <c r="I11" s="54" t="s">
        <v>70</v>
      </c>
      <c r="J11" s="57" t="s">
        <v>61</v>
      </c>
      <c r="K11" s="54" t="s">
        <v>27</v>
      </c>
      <c r="L11" s="54" t="s">
        <v>52</v>
      </c>
      <c r="M11" s="54" t="s">
        <v>62</v>
      </c>
      <c r="N11" s="56"/>
      <c r="O11" s="56" t="s">
        <v>67</v>
      </c>
      <c r="P11" s="54" t="s">
        <v>33</v>
      </c>
      <c r="Q11" s="54" t="s">
        <v>33</v>
      </c>
      <c r="R11" s="59" t="s">
        <v>33</v>
      </c>
      <c r="AMG11" s="11"/>
      <c r="AMH11" s="11"/>
      <c r="AMI11" s="11"/>
      <c r="AMJ11" s="1"/>
    </row>
    <row r="12" spans="1:1024" x14ac:dyDescent="0.15">
      <c r="A12" s="54"/>
      <c r="B12" s="54"/>
      <c r="C12" s="54"/>
      <c r="D12" s="8" t="s">
        <v>21</v>
      </c>
      <c r="E12" s="8" t="s">
        <v>71</v>
      </c>
      <c r="F12" s="8" t="s">
        <v>72</v>
      </c>
      <c r="G12" s="8" t="s">
        <v>33</v>
      </c>
      <c r="H12" s="54"/>
      <c r="I12" s="54"/>
      <c r="J12" s="57"/>
      <c r="K12" s="54"/>
      <c r="L12" s="54" t="s">
        <v>52</v>
      </c>
      <c r="M12" s="54"/>
      <c r="N12" s="56"/>
      <c r="O12" s="56"/>
      <c r="P12" s="54"/>
      <c r="Q12" s="54"/>
      <c r="R12" s="59"/>
      <c r="AMG12" s="11"/>
      <c r="AMH12" s="11"/>
      <c r="AMI12" s="11"/>
      <c r="AMJ12" s="1"/>
    </row>
    <row r="13" spans="1:1024" x14ac:dyDescent="0.15">
      <c r="A13" s="54" t="s">
        <v>73</v>
      </c>
      <c r="B13" s="58"/>
      <c r="C13" s="54">
        <f>C11+1</f>
        <v>10</v>
      </c>
      <c r="D13" s="8" t="s">
        <v>49</v>
      </c>
      <c r="E13" s="8" t="s">
        <v>74</v>
      </c>
      <c r="F13" s="8" t="s">
        <v>50</v>
      </c>
      <c r="G13" s="8" t="s">
        <v>33</v>
      </c>
      <c r="H13" s="54">
        <v>18</v>
      </c>
      <c r="I13" s="54" t="s">
        <v>38</v>
      </c>
      <c r="J13" s="57" t="s">
        <v>61</v>
      </c>
      <c r="K13" s="54" t="s">
        <v>27</v>
      </c>
      <c r="L13" s="54" t="s">
        <v>52</v>
      </c>
      <c r="M13" s="54" t="s">
        <v>62</v>
      </c>
      <c r="N13" s="56"/>
      <c r="O13" s="56" t="s">
        <v>67</v>
      </c>
      <c r="P13" s="54" t="s">
        <v>33</v>
      </c>
      <c r="Q13" s="54" t="s">
        <v>33</v>
      </c>
      <c r="R13" s="59" t="s">
        <v>33</v>
      </c>
      <c r="AMG13" s="11"/>
      <c r="AMH13" s="11"/>
      <c r="AMI13" s="11"/>
      <c r="AMJ13" s="1"/>
    </row>
    <row r="14" spans="1:1024" x14ac:dyDescent="0.15">
      <c r="A14" s="54"/>
      <c r="B14" s="54"/>
      <c r="C14" s="54"/>
      <c r="D14" s="8" t="s">
        <v>21</v>
      </c>
      <c r="E14" s="8" t="s">
        <v>75</v>
      </c>
      <c r="F14" s="8" t="s">
        <v>72</v>
      </c>
      <c r="G14" s="8" t="s">
        <v>33</v>
      </c>
      <c r="H14" s="54"/>
      <c r="I14" s="54"/>
      <c r="J14" s="57"/>
      <c r="K14" s="54"/>
      <c r="L14" s="54" t="s">
        <v>52</v>
      </c>
      <c r="M14" s="54"/>
      <c r="N14" s="56"/>
      <c r="O14" s="56"/>
      <c r="P14" s="54"/>
      <c r="Q14" s="54"/>
      <c r="R14" s="59"/>
      <c r="AMG14" s="11"/>
      <c r="AMH14" s="11"/>
      <c r="AMI14" s="11"/>
      <c r="AMJ14" s="1"/>
    </row>
    <row r="15" spans="1:1024" x14ac:dyDescent="0.15">
      <c r="A15" s="8" t="s">
        <v>76</v>
      </c>
      <c r="B15" s="58"/>
      <c r="C15" s="8">
        <f>C13+1</f>
        <v>11</v>
      </c>
      <c r="D15" s="8" t="s">
        <v>77</v>
      </c>
      <c r="E15" s="8" t="s">
        <v>45</v>
      </c>
      <c r="F15" s="8" t="s">
        <v>77</v>
      </c>
      <c r="G15" s="8" t="s">
        <v>45</v>
      </c>
      <c r="H15" s="8">
        <v>6</v>
      </c>
      <c r="I15" s="8" t="s">
        <v>47</v>
      </c>
      <c r="J15" s="8" t="s">
        <v>42</v>
      </c>
      <c r="K15" s="8" t="s">
        <v>78</v>
      </c>
      <c r="L15" s="8" t="s">
        <v>52</v>
      </c>
      <c r="M15" s="8" t="s">
        <v>79</v>
      </c>
      <c r="N15" s="54" t="s">
        <v>80</v>
      </c>
      <c r="O15" s="8"/>
      <c r="P15" s="8" t="s">
        <v>76</v>
      </c>
      <c r="Q15" s="8" t="s">
        <v>77</v>
      </c>
      <c r="R15" s="5" t="s">
        <v>45</v>
      </c>
      <c r="AMG15" s="11"/>
      <c r="AMH15" s="11"/>
      <c r="AMI15" s="11"/>
      <c r="AMJ15" s="1"/>
    </row>
    <row r="16" spans="1:1024" x14ac:dyDescent="0.15">
      <c r="A16" s="8" t="s">
        <v>81</v>
      </c>
      <c r="B16" s="58"/>
      <c r="C16" s="8">
        <f t="shared" ref="C16:C28" si="1">C15+1</f>
        <v>12</v>
      </c>
      <c r="D16" s="8" t="s">
        <v>77</v>
      </c>
      <c r="E16" s="8" t="s">
        <v>35</v>
      </c>
      <c r="F16" s="8" t="s">
        <v>77</v>
      </c>
      <c r="G16" s="8" t="s">
        <v>35</v>
      </c>
      <c r="H16" s="8" t="s">
        <v>82</v>
      </c>
      <c r="I16" s="8" t="s">
        <v>70</v>
      </c>
      <c r="J16" s="8" t="s">
        <v>42</v>
      </c>
      <c r="K16" s="8" t="s">
        <v>78</v>
      </c>
      <c r="L16" s="8" t="s">
        <v>52</v>
      </c>
      <c r="M16" s="8" t="s">
        <v>79</v>
      </c>
      <c r="N16" s="54" t="s">
        <v>80</v>
      </c>
      <c r="O16" s="8"/>
      <c r="P16" s="8" t="s">
        <v>81</v>
      </c>
      <c r="Q16" s="8" t="s">
        <v>77</v>
      </c>
      <c r="R16" s="5" t="s">
        <v>35</v>
      </c>
      <c r="AMG16" s="11"/>
      <c r="AMH16" s="11"/>
      <c r="AMI16" s="11"/>
      <c r="AMJ16" s="1"/>
    </row>
    <row r="17" spans="1:1024" x14ac:dyDescent="0.15">
      <c r="A17" s="8" t="s">
        <v>83</v>
      </c>
      <c r="B17" s="58"/>
      <c r="C17" s="8">
        <f t="shared" si="1"/>
        <v>13</v>
      </c>
      <c r="D17" s="8" t="s">
        <v>77</v>
      </c>
      <c r="E17" s="8" t="s">
        <v>22</v>
      </c>
      <c r="F17" s="8" t="s">
        <v>77</v>
      </c>
      <c r="G17" s="8" t="s">
        <v>22</v>
      </c>
      <c r="H17" s="8" t="s">
        <v>84</v>
      </c>
      <c r="I17" s="8" t="s">
        <v>70</v>
      </c>
      <c r="J17" s="8" t="s">
        <v>42</v>
      </c>
      <c r="K17" s="8" t="s">
        <v>78</v>
      </c>
      <c r="L17" s="8" t="s">
        <v>52</v>
      </c>
      <c r="M17" s="8" t="s">
        <v>79</v>
      </c>
      <c r="N17" s="54" t="s">
        <v>80</v>
      </c>
      <c r="O17" s="8"/>
      <c r="P17" s="8" t="s">
        <v>83</v>
      </c>
      <c r="Q17" s="8" t="s">
        <v>77</v>
      </c>
      <c r="R17" s="5" t="s">
        <v>22</v>
      </c>
      <c r="AMG17" s="11"/>
      <c r="AMH17" s="11"/>
      <c r="AMI17" s="11"/>
      <c r="AMJ17" s="1"/>
    </row>
    <row r="18" spans="1:1024" x14ac:dyDescent="0.15">
      <c r="A18" s="8" t="s">
        <v>85</v>
      </c>
      <c r="B18" s="58"/>
      <c r="C18" s="8">
        <f t="shared" si="1"/>
        <v>14</v>
      </c>
      <c r="D18" s="8" t="s">
        <v>77</v>
      </c>
      <c r="E18" s="8" t="s">
        <v>60</v>
      </c>
      <c r="F18" s="8" t="s">
        <v>77</v>
      </c>
      <c r="G18" s="8" t="s">
        <v>60</v>
      </c>
      <c r="H18" s="8">
        <v>7</v>
      </c>
      <c r="I18" s="8" t="s">
        <v>86</v>
      </c>
      <c r="J18" s="8" t="s">
        <v>42</v>
      </c>
      <c r="K18" s="8" t="s">
        <v>78</v>
      </c>
      <c r="L18" s="8" t="s">
        <v>52</v>
      </c>
      <c r="M18" s="8" t="s">
        <v>79</v>
      </c>
      <c r="N18" s="54" t="s">
        <v>80</v>
      </c>
      <c r="O18" s="8"/>
      <c r="P18" s="8" t="s">
        <v>85</v>
      </c>
      <c r="Q18" s="8" t="s">
        <v>77</v>
      </c>
      <c r="R18" s="5" t="s">
        <v>60</v>
      </c>
      <c r="AMG18" s="11"/>
      <c r="AMH18" s="11"/>
      <c r="AMI18" s="11"/>
      <c r="AMJ18" s="1"/>
    </row>
    <row r="19" spans="1:1024" ht="12.75" customHeight="1" x14ac:dyDescent="0.15">
      <c r="A19" s="8" t="s">
        <v>87</v>
      </c>
      <c r="B19" s="58"/>
      <c r="C19" s="8">
        <f t="shared" si="1"/>
        <v>15</v>
      </c>
      <c r="D19" s="8" t="s">
        <v>49</v>
      </c>
      <c r="E19" s="8" t="s">
        <v>40</v>
      </c>
      <c r="F19" s="6" t="s">
        <v>50</v>
      </c>
      <c r="G19" s="8" t="s">
        <v>33</v>
      </c>
      <c r="H19" s="8">
        <v>8</v>
      </c>
      <c r="I19" s="8" t="s">
        <v>47</v>
      </c>
      <c r="J19" s="8" t="s">
        <v>88</v>
      </c>
      <c r="K19" s="8" t="s">
        <v>27</v>
      </c>
      <c r="L19" s="8" t="s">
        <v>52</v>
      </c>
      <c r="M19" s="8" t="s">
        <v>53</v>
      </c>
      <c r="N19" s="54" t="s">
        <v>54</v>
      </c>
      <c r="O19" s="56" t="s">
        <v>55</v>
      </c>
      <c r="P19" s="8" t="s">
        <v>87</v>
      </c>
      <c r="Q19" s="8" t="s">
        <v>56</v>
      </c>
      <c r="R19" s="5" t="s">
        <v>60</v>
      </c>
      <c r="AMG19" s="11"/>
      <c r="AMH19" s="11"/>
      <c r="AMI19" s="11"/>
      <c r="AMJ19" s="1"/>
    </row>
    <row r="20" spans="1:1024" x14ac:dyDescent="0.15">
      <c r="A20" s="8" t="s">
        <v>89</v>
      </c>
      <c r="B20" s="58"/>
      <c r="C20" s="8">
        <f t="shared" si="1"/>
        <v>16</v>
      </c>
      <c r="D20" s="8" t="s">
        <v>49</v>
      </c>
      <c r="E20" s="8" t="s">
        <v>45</v>
      </c>
      <c r="F20" s="6" t="s">
        <v>50</v>
      </c>
      <c r="G20" s="8" t="s">
        <v>33</v>
      </c>
      <c r="H20" s="8">
        <v>21</v>
      </c>
      <c r="I20" s="8" t="s">
        <v>66</v>
      </c>
      <c r="J20" s="8" t="s">
        <v>88</v>
      </c>
      <c r="K20" s="8" t="s">
        <v>27</v>
      </c>
      <c r="L20" s="8" t="s">
        <v>52</v>
      </c>
      <c r="M20" s="8" t="s">
        <v>53</v>
      </c>
      <c r="N20" s="54" t="s">
        <v>58</v>
      </c>
      <c r="O20" s="56" t="s">
        <v>58</v>
      </c>
      <c r="P20" s="8" t="s">
        <v>89</v>
      </c>
      <c r="Q20" s="8" t="s">
        <v>56</v>
      </c>
      <c r="R20" s="5" t="s">
        <v>35</v>
      </c>
      <c r="AMG20" s="11"/>
      <c r="AMH20" s="11"/>
      <c r="AMI20" s="11"/>
      <c r="AMJ20" s="1"/>
    </row>
    <row r="21" spans="1:1024" x14ac:dyDescent="0.15">
      <c r="A21" s="8" t="s">
        <v>90</v>
      </c>
      <c r="B21" s="58"/>
      <c r="C21" s="8">
        <f t="shared" si="1"/>
        <v>17</v>
      </c>
      <c r="D21" s="8" t="s">
        <v>21</v>
      </c>
      <c r="E21" s="8" t="s">
        <v>91</v>
      </c>
      <c r="F21" s="8" t="s">
        <v>72</v>
      </c>
      <c r="G21" s="8" t="s">
        <v>33</v>
      </c>
      <c r="H21" s="8">
        <v>9</v>
      </c>
      <c r="I21" s="8" t="s">
        <v>47</v>
      </c>
      <c r="J21" s="8" t="s">
        <v>27</v>
      </c>
      <c r="K21" s="8" t="s">
        <v>27</v>
      </c>
      <c r="L21" s="8" t="s">
        <v>52</v>
      </c>
      <c r="M21" s="8" t="s">
        <v>33</v>
      </c>
      <c r="N21" s="54" t="s">
        <v>92</v>
      </c>
      <c r="O21" s="8"/>
      <c r="P21" s="8" t="s">
        <v>90</v>
      </c>
      <c r="Q21" s="8" t="s">
        <v>21</v>
      </c>
      <c r="R21" s="5" t="s">
        <v>91</v>
      </c>
      <c r="AMG21" s="11"/>
      <c r="AMH21" s="11"/>
      <c r="AMI21" s="11"/>
      <c r="AMJ21" s="1"/>
    </row>
    <row r="22" spans="1:1024" x14ac:dyDescent="0.15">
      <c r="A22" s="8" t="s">
        <v>93</v>
      </c>
      <c r="B22" s="58"/>
      <c r="C22" s="8">
        <f t="shared" si="1"/>
        <v>18</v>
      </c>
      <c r="D22" s="8" t="s">
        <v>21</v>
      </c>
      <c r="E22" s="8" t="s">
        <v>94</v>
      </c>
      <c r="F22" s="8" t="s">
        <v>72</v>
      </c>
      <c r="G22" s="8" t="s">
        <v>33</v>
      </c>
      <c r="H22" s="8">
        <v>22</v>
      </c>
      <c r="I22" s="8" t="s">
        <v>66</v>
      </c>
      <c r="J22" s="8" t="s">
        <v>27</v>
      </c>
      <c r="K22" s="8" t="s">
        <v>27</v>
      </c>
      <c r="L22" s="8" t="s">
        <v>52</v>
      </c>
      <c r="M22" s="8" t="s">
        <v>33</v>
      </c>
      <c r="N22" s="54" t="s">
        <v>92</v>
      </c>
      <c r="O22" s="8"/>
      <c r="P22" s="8" t="s">
        <v>93</v>
      </c>
      <c r="Q22" s="8" t="s">
        <v>21</v>
      </c>
      <c r="R22" s="5" t="s">
        <v>94</v>
      </c>
      <c r="AMG22" s="11"/>
      <c r="AMH22" s="11"/>
      <c r="AMI22" s="11"/>
      <c r="AMJ22" s="1"/>
    </row>
    <row r="23" spans="1:1024" ht="15" x14ac:dyDescent="0.15">
      <c r="A23" s="8" t="s">
        <v>95</v>
      </c>
      <c r="B23" s="58"/>
      <c r="C23" s="8">
        <f t="shared" si="1"/>
        <v>19</v>
      </c>
      <c r="D23" s="8" t="s">
        <v>21</v>
      </c>
      <c r="E23" s="8" t="s">
        <v>84</v>
      </c>
      <c r="F23" s="8" t="s">
        <v>96</v>
      </c>
      <c r="G23" s="8" t="s">
        <v>36</v>
      </c>
      <c r="H23" s="8">
        <v>10</v>
      </c>
      <c r="I23" s="8" t="s">
        <v>97</v>
      </c>
      <c r="J23" s="8" t="s">
        <v>98</v>
      </c>
      <c r="K23" s="8" t="s">
        <v>27</v>
      </c>
      <c r="L23" s="8" t="s">
        <v>28</v>
      </c>
      <c r="M23" s="8" t="s">
        <v>99</v>
      </c>
      <c r="N23" s="2"/>
      <c r="O23" s="2"/>
      <c r="P23" s="8" t="s">
        <v>95</v>
      </c>
      <c r="Q23" s="8" t="s">
        <v>21</v>
      </c>
      <c r="R23" s="8" t="s">
        <v>84</v>
      </c>
      <c r="AMG23" s="11"/>
      <c r="AMH23" s="11"/>
      <c r="AMI23" s="11"/>
      <c r="AMJ23" s="1"/>
    </row>
    <row r="24" spans="1:1024" ht="15" x14ac:dyDescent="0.15">
      <c r="A24" s="8" t="s">
        <v>95</v>
      </c>
      <c r="B24" s="58"/>
      <c r="C24" s="8">
        <f t="shared" si="1"/>
        <v>20</v>
      </c>
      <c r="D24" s="8" t="s">
        <v>21</v>
      </c>
      <c r="E24" s="8" t="s">
        <v>82</v>
      </c>
      <c r="F24" s="8" t="s">
        <v>96</v>
      </c>
      <c r="G24" s="8" t="s">
        <v>100</v>
      </c>
      <c r="H24" s="8">
        <v>23</v>
      </c>
      <c r="I24" s="8" t="s">
        <v>97</v>
      </c>
      <c r="J24" s="8" t="s">
        <v>98</v>
      </c>
      <c r="K24" s="8" t="s">
        <v>27</v>
      </c>
      <c r="L24" s="8" t="s">
        <v>28</v>
      </c>
      <c r="M24" s="8" t="s">
        <v>99</v>
      </c>
      <c r="N24" s="8"/>
      <c r="O24" s="8"/>
      <c r="P24" s="8" t="s">
        <v>95</v>
      </c>
      <c r="Q24" s="8" t="s">
        <v>21</v>
      </c>
      <c r="R24" s="8" t="s">
        <v>82</v>
      </c>
      <c r="AMG24" s="11"/>
      <c r="AMH24" s="11"/>
      <c r="AMI24" s="11"/>
      <c r="AMJ24" s="1"/>
    </row>
    <row r="25" spans="1:1024" ht="15" x14ac:dyDescent="0.15">
      <c r="A25" s="8" t="s">
        <v>101</v>
      </c>
      <c r="B25" s="58"/>
      <c r="C25" s="8">
        <f t="shared" si="1"/>
        <v>21</v>
      </c>
      <c r="D25" s="8" t="s">
        <v>21</v>
      </c>
      <c r="E25" s="8" t="s">
        <v>102</v>
      </c>
      <c r="F25" s="8" t="s">
        <v>96</v>
      </c>
      <c r="G25" s="8" t="s">
        <v>24</v>
      </c>
      <c r="H25" s="8">
        <v>11</v>
      </c>
      <c r="I25" s="8" t="s">
        <v>103</v>
      </c>
      <c r="J25" s="8" t="s">
        <v>104</v>
      </c>
      <c r="K25" s="8" t="s">
        <v>27</v>
      </c>
      <c r="L25" s="8" t="s">
        <v>52</v>
      </c>
      <c r="M25" s="8" t="s">
        <v>105</v>
      </c>
      <c r="N25" s="54" t="s">
        <v>106</v>
      </c>
      <c r="O25" s="54" t="s">
        <v>107</v>
      </c>
      <c r="P25" s="8" t="s">
        <v>101</v>
      </c>
      <c r="Q25" s="8" t="s">
        <v>21</v>
      </c>
      <c r="R25" s="8" t="s">
        <v>102</v>
      </c>
      <c r="AMG25" s="11"/>
      <c r="AMH25" s="11"/>
      <c r="AMI25" s="11"/>
      <c r="AMJ25" s="1"/>
    </row>
    <row r="26" spans="1:1024" ht="15" x14ac:dyDescent="0.15">
      <c r="A26" s="8" t="s">
        <v>101</v>
      </c>
      <c r="B26" s="58"/>
      <c r="C26" s="8">
        <f t="shared" si="1"/>
        <v>22</v>
      </c>
      <c r="D26" s="6" t="s">
        <v>21</v>
      </c>
      <c r="E26" s="6" t="s">
        <v>108</v>
      </c>
      <c r="F26" s="8" t="s">
        <v>96</v>
      </c>
      <c r="G26" s="8" t="s">
        <v>109</v>
      </c>
      <c r="H26" s="8">
        <v>24</v>
      </c>
      <c r="I26" s="8" t="s">
        <v>110</v>
      </c>
      <c r="J26" s="8" t="s">
        <v>104</v>
      </c>
      <c r="K26" s="8" t="s">
        <v>27</v>
      </c>
      <c r="L26" s="8" t="s">
        <v>52</v>
      </c>
      <c r="M26" s="8" t="s">
        <v>105</v>
      </c>
      <c r="N26" s="54"/>
      <c r="O26" s="54" t="s">
        <v>107</v>
      </c>
      <c r="P26" s="8" t="s">
        <v>101</v>
      </c>
      <c r="Q26" s="8" t="s">
        <v>21</v>
      </c>
      <c r="R26" s="8" t="s">
        <v>108</v>
      </c>
      <c r="AMG26" s="11"/>
      <c r="AMH26" s="11"/>
      <c r="AMI26" s="11"/>
      <c r="AMJ26" s="1"/>
    </row>
    <row r="27" spans="1:1024" ht="28" x14ac:dyDescent="0.15">
      <c r="A27" s="8" t="s">
        <v>111</v>
      </c>
      <c r="B27" s="58"/>
      <c r="C27" s="8">
        <f t="shared" si="1"/>
        <v>23</v>
      </c>
      <c r="D27" s="8" t="s">
        <v>112</v>
      </c>
      <c r="E27" s="8" t="s">
        <v>113</v>
      </c>
      <c r="F27" s="8" t="s">
        <v>114</v>
      </c>
      <c r="G27" s="8" t="s">
        <v>115</v>
      </c>
      <c r="H27" s="8">
        <v>12</v>
      </c>
      <c r="I27" s="8" t="s">
        <v>110</v>
      </c>
      <c r="J27" s="8" t="s">
        <v>116</v>
      </c>
      <c r="K27" s="8" t="s">
        <v>27</v>
      </c>
      <c r="L27" s="8" t="s">
        <v>52</v>
      </c>
      <c r="M27" s="8" t="s">
        <v>105</v>
      </c>
      <c r="N27" s="7" t="s">
        <v>117</v>
      </c>
      <c r="O27" s="8"/>
      <c r="P27" s="8" t="s">
        <v>111</v>
      </c>
      <c r="Q27" s="8" t="s">
        <v>118</v>
      </c>
      <c r="R27" s="8" t="s">
        <v>119</v>
      </c>
      <c r="AMG27" s="11"/>
      <c r="AMH27" s="11"/>
      <c r="AMI27" s="11"/>
      <c r="AMJ27" s="1"/>
    </row>
    <row r="28" spans="1:1024" ht="28" x14ac:dyDescent="0.15">
      <c r="A28" s="8" t="s">
        <v>111</v>
      </c>
      <c r="B28" s="58"/>
      <c r="C28" s="8">
        <f t="shared" si="1"/>
        <v>24</v>
      </c>
      <c r="D28" s="8" t="s">
        <v>112</v>
      </c>
      <c r="E28" s="8" t="s">
        <v>120</v>
      </c>
      <c r="F28" s="8" t="s">
        <v>114</v>
      </c>
      <c r="G28" s="8" t="s">
        <v>121</v>
      </c>
      <c r="H28" s="8">
        <v>25</v>
      </c>
      <c r="I28" s="8" t="s">
        <v>110</v>
      </c>
      <c r="J28" s="8" t="s">
        <v>116</v>
      </c>
      <c r="K28" s="8" t="s">
        <v>27</v>
      </c>
      <c r="L28" s="8" t="s">
        <v>52</v>
      </c>
      <c r="M28" s="8" t="s">
        <v>105</v>
      </c>
      <c r="N28" s="7" t="s">
        <v>122</v>
      </c>
      <c r="O28" s="8"/>
      <c r="P28" s="8" t="s">
        <v>111</v>
      </c>
      <c r="Q28" s="8" t="s">
        <v>118</v>
      </c>
      <c r="R28" s="8" t="s">
        <v>123</v>
      </c>
      <c r="AMG28" s="11"/>
      <c r="AMH28" s="11"/>
      <c r="AMI28" s="11"/>
      <c r="AMJ28" s="1"/>
    </row>
    <row r="29" spans="1:1024" s="4" customFormat="1" x14ac:dyDescent="0.15">
      <c r="A29" s="61" t="s">
        <v>124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s="4" customFormat="1" x14ac:dyDescent="0.15">
      <c r="A30" s="61" t="s">
        <v>125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s="4" customFormat="1" x14ac:dyDescent="0.15">
      <c r="A31" s="61" t="s">
        <v>126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15">
      <c r="C32" s="9"/>
      <c r="D32" s="9"/>
      <c r="E32" s="9"/>
      <c r="F32" s="9"/>
      <c r="G32" s="9"/>
      <c r="H32" s="9"/>
      <c r="I32" s="9"/>
    </row>
    <row r="33" spans="1:1024" x14ac:dyDescent="0.15">
      <c r="A33" s="15"/>
      <c r="B33" s="60" t="s">
        <v>127</v>
      </c>
      <c r="C33" s="60"/>
      <c r="D33" s="60"/>
      <c r="E33" s="60"/>
      <c r="F33" s="60"/>
      <c r="G33" s="60"/>
      <c r="H33" s="9"/>
      <c r="I33" s="9"/>
    </row>
    <row r="34" spans="1:1024" x14ac:dyDescent="0.15">
      <c r="A34" s="16"/>
      <c r="B34" s="60" t="s">
        <v>128</v>
      </c>
      <c r="C34" s="60"/>
      <c r="D34" s="60"/>
      <c r="E34" s="60"/>
      <c r="F34" s="60"/>
      <c r="G34" s="60"/>
      <c r="H34" s="9"/>
      <c r="I34" s="9"/>
    </row>
    <row r="35" spans="1:1024" x14ac:dyDescent="0.15">
      <c r="A35" s="17"/>
      <c r="B35" s="60" t="s">
        <v>129</v>
      </c>
      <c r="C35" s="60"/>
      <c r="D35" s="60"/>
      <c r="E35" s="60"/>
      <c r="F35" s="60"/>
      <c r="G35" s="60"/>
      <c r="H35" s="9"/>
      <c r="I35" s="9"/>
    </row>
    <row r="36" spans="1:1024" x14ac:dyDescent="0.15">
      <c r="A36" s="3" t="s">
        <v>130</v>
      </c>
      <c r="B36" s="60" t="s">
        <v>131</v>
      </c>
      <c r="C36" s="60"/>
      <c r="D36" s="60"/>
      <c r="E36" s="60"/>
      <c r="F36" s="60"/>
      <c r="G36" s="60"/>
      <c r="H36" s="9"/>
      <c r="I36" s="9"/>
    </row>
    <row r="37" spans="1:1024" x14ac:dyDescent="0.15">
      <c r="C37" s="9"/>
      <c r="D37" s="9"/>
      <c r="E37" s="9"/>
      <c r="F37" s="9"/>
      <c r="G37" s="9"/>
      <c r="H37" s="9"/>
      <c r="I37" s="9"/>
    </row>
    <row r="38" spans="1:1024" x14ac:dyDescent="0.15">
      <c r="C38" s="9"/>
      <c r="D38" s="9"/>
      <c r="E38" s="9"/>
      <c r="F38" s="9"/>
      <c r="G38" s="9"/>
      <c r="H38" s="9"/>
      <c r="I38" s="9"/>
    </row>
    <row r="39" spans="1:1024" x14ac:dyDescent="0.15">
      <c r="C39" s="9"/>
      <c r="D39" s="9"/>
      <c r="E39" s="9"/>
      <c r="F39" s="9"/>
      <c r="G39" s="9"/>
      <c r="H39" s="9"/>
      <c r="I39" s="9"/>
    </row>
    <row r="40" spans="1:1024" x14ac:dyDescent="0.15">
      <c r="C40" s="9"/>
      <c r="D40" s="9"/>
      <c r="E40" s="9"/>
      <c r="F40" s="9"/>
      <c r="G40" s="9"/>
      <c r="H40" s="9"/>
      <c r="I40" s="9"/>
    </row>
    <row r="41" spans="1:1024" x14ac:dyDescent="0.15">
      <c r="C41" s="9"/>
      <c r="D41" s="9"/>
      <c r="E41" s="9"/>
      <c r="F41" s="9"/>
      <c r="G41" s="9"/>
      <c r="H41" s="9"/>
      <c r="I41" s="9"/>
    </row>
    <row r="42" spans="1:1024" x14ac:dyDescent="0.15">
      <c r="A42" s="63" t="s">
        <v>0</v>
      </c>
      <c r="B42" s="54"/>
      <c r="C42" s="54" t="s">
        <v>1</v>
      </c>
      <c r="D42" s="54"/>
      <c r="E42" s="54"/>
      <c r="F42" s="87" t="s">
        <v>132</v>
      </c>
      <c r="G42" s="87"/>
      <c r="H42" s="87"/>
      <c r="I42" s="87"/>
      <c r="J42" s="87"/>
      <c r="K42" s="54" t="s">
        <v>4</v>
      </c>
      <c r="L42" s="54" t="s">
        <v>6</v>
      </c>
      <c r="M42" s="54"/>
      <c r="N42" s="54"/>
      <c r="O42" s="54"/>
      <c r="AMJ42"/>
    </row>
    <row r="43" spans="1:1024" ht="46.25" customHeight="1" x14ac:dyDescent="0.15">
      <c r="A43" s="64"/>
      <c r="B43" s="54"/>
      <c r="C43" s="7" t="s">
        <v>7</v>
      </c>
      <c r="D43" s="56" t="s">
        <v>133</v>
      </c>
      <c r="E43" s="56" t="s">
        <v>9</v>
      </c>
      <c r="F43" s="7" t="s">
        <v>12</v>
      </c>
      <c r="G43" s="7" t="s">
        <v>13</v>
      </c>
      <c r="H43" s="18" t="s">
        <v>14</v>
      </c>
      <c r="I43" s="7" t="s">
        <v>15</v>
      </c>
      <c r="J43" s="7" t="s">
        <v>134</v>
      </c>
      <c r="K43" s="54"/>
      <c r="L43" s="2" t="s">
        <v>5</v>
      </c>
      <c r="M43" s="2" t="s">
        <v>0</v>
      </c>
      <c r="N43" s="56" t="s">
        <v>135</v>
      </c>
      <c r="O43" s="56" t="s">
        <v>11</v>
      </c>
      <c r="AMJ43"/>
    </row>
    <row r="44" spans="1:1024" ht="16" x14ac:dyDescent="0.15">
      <c r="A44" s="19" t="s">
        <v>136</v>
      </c>
      <c r="B44" s="58" t="s">
        <v>137</v>
      </c>
      <c r="C44" s="20">
        <v>1</v>
      </c>
      <c r="D44" s="20" t="s">
        <v>138</v>
      </c>
      <c r="E44" s="20" t="s">
        <v>74</v>
      </c>
      <c r="F44" s="20">
        <v>1</v>
      </c>
      <c r="G44" s="20" t="s">
        <v>139</v>
      </c>
      <c r="H44" s="20"/>
      <c r="I44" s="20"/>
      <c r="J44" s="20" t="s">
        <v>35</v>
      </c>
      <c r="K44" s="21"/>
      <c r="L44" s="19"/>
      <c r="M44" s="19" t="s">
        <v>136</v>
      </c>
      <c r="N44" s="20" t="s">
        <v>138</v>
      </c>
      <c r="O44" s="20" t="s">
        <v>74</v>
      </c>
      <c r="AMJ44"/>
    </row>
    <row r="45" spans="1:1024" x14ac:dyDescent="0.15">
      <c r="A45" s="8"/>
      <c r="B45" s="58"/>
      <c r="C45" s="8">
        <f t="shared" ref="C45:C54" si="2">C44+1</f>
        <v>2</v>
      </c>
      <c r="D45" s="8"/>
      <c r="E45" s="8"/>
      <c r="F45" s="8">
        <v>14</v>
      </c>
      <c r="G45" s="8" t="s">
        <v>47</v>
      </c>
      <c r="H45" s="8"/>
      <c r="I45" s="8"/>
      <c r="J45" s="8"/>
      <c r="K45" s="2"/>
      <c r="L45" s="22" t="s">
        <v>140</v>
      </c>
      <c r="M45" s="22" t="s">
        <v>141</v>
      </c>
      <c r="N45" s="22" t="s">
        <v>142</v>
      </c>
      <c r="O45" s="22" t="s">
        <v>69</v>
      </c>
      <c r="AMJ45"/>
    </row>
    <row r="46" spans="1:1024" ht="16" x14ac:dyDescent="0.15">
      <c r="A46" s="19" t="s">
        <v>195</v>
      </c>
      <c r="B46" s="58"/>
      <c r="C46" s="20">
        <f t="shared" si="2"/>
        <v>3</v>
      </c>
      <c r="D46" s="20" t="s">
        <v>138</v>
      </c>
      <c r="E46" s="20" t="s">
        <v>74</v>
      </c>
      <c r="F46" s="20">
        <v>2</v>
      </c>
      <c r="G46" s="20" t="s">
        <v>143</v>
      </c>
      <c r="H46" s="20"/>
      <c r="I46" s="20"/>
      <c r="J46" s="20" t="s">
        <v>22</v>
      </c>
      <c r="K46" s="21"/>
      <c r="L46" s="19"/>
      <c r="M46" s="19" t="s">
        <v>136</v>
      </c>
      <c r="N46" s="20" t="s">
        <v>138</v>
      </c>
      <c r="O46" s="20" t="s">
        <v>74</v>
      </c>
      <c r="AMJ46"/>
    </row>
    <row r="47" spans="1:1024" ht="15" x14ac:dyDescent="0.15">
      <c r="A47" s="23" t="s">
        <v>144</v>
      </c>
      <c r="B47" s="58"/>
      <c r="C47" s="23">
        <f t="shared" si="2"/>
        <v>4</v>
      </c>
      <c r="D47" s="23" t="s">
        <v>138</v>
      </c>
      <c r="E47" s="23" t="s">
        <v>40</v>
      </c>
      <c r="F47" s="23">
        <v>15</v>
      </c>
      <c r="G47" s="23" t="s">
        <v>139</v>
      </c>
      <c r="H47" s="23"/>
      <c r="I47" s="23"/>
      <c r="J47" s="6" t="s">
        <v>40</v>
      </c>
      <c r="K47" s="24" t="s">
        <v>145</v>
      </c>
      <c r="L47" s="23" t="s">
        <v>146</v>
      </c>
      <c r="M47" s="23" t="s">
        <v>144</v>
      </c>
      <c r="N47" s="23" t="s">
        <v>138</v>
      </c>
      <c r="O47" s="23" t="s">
        <v>40</v>
      </c>
      <c r="AMJ47"/>
    </row>
    <row r="48" spans="1:1024" ht="15" x14ac:dyDescent="0.15">
      <c r="A48" s="23" t="s">
        <v>144</v>
      </c>
      <c r="B48" s="58"/>
      <c r="C48" s="23">
        <f t="shared" si="2"/>
        <v>5</v>
      </c>
      <c r="D48" s="23" t="s">
        <v>138</v>
      </c>
      <c r="E48" s="23" t="s">
        <v>40</v>
      </c>
      <c r="F48" s="23">
        <v>3</v>
      </c>
      <c r="G48" s="23" t="s">
        <v>147</v>
      </c>
      <c r="H48" s="23"/>
      <c r="I48" s="23"/>
      <c r="J48" s="6" t="s">
        <v>46</v>
      </c>
      <c r="K48" s="24" t="s">
        <v>145</v>
      </c>
      <c r="L48" s="23" t="s">
        <v>146</v>
      </c>
      <c r="M48" s="23" t="s">
        <v>144</v>
      </c>
      <c r="N48" s="23" t="s">
        <v>138</v>
      </c>
      <c r="O48" s="23" t="s">
        <v>40</v>
      </c>
      <c r="AMJ48"/>
    </row>
    <row r="49" spans="1:1024" ht="12.75" customHeight="1" x14ac:dyDescent="0.15">
      <c r="A49" s="8"/>
      <c r="B49" s="58"/>
      <c r="C49" s="8">
        <f t="shared" si="2"/>
        <v>6</v>
      </c>
      <c r="D49" s="8"/>
      <c r="E49" s="8"/>
      <c r="F49" s="8">
        <v>16</v>
      </c>
      <c r="G49" s="8" t="s">
        <v>47</v>
      </c>
      <c r="H49" s="8"/>
      <c r="I49" s="8"/>
      <c r="J49" s="8"/>
      <c r="K49" s="88" t="s">
        <v>148</v>
      </c>
      <c r="L49" s="56" t="s">
        <v>149</v>
      </c>
      <c r="M49" s="8" t="s">
        <v>150</v>
      </c>
      <c r="N49" s="8" t="s">
        <v>21</v>
      </c>
      <c r="O49" s="8" t="s">
        <v>22</v>
      </c>
      <c r="AMJ49"/>
    </row>
    <row r="50" spans="1:1024" x14ac:dyDescent="0.15">
      <c r="A50" s="8"/>
      <c r="B50" s="58"/>
      <c r="C50" s="8">
        <f t="shared" si="2"/>
        <v>7</v>
      </c>
      <c r="D50" s="8"/>
      <c r="E50" s="8"/>
      <c r="F50" s="8">
        <v>4</v>
      </c>
      <c r="G50" s="8" t="s">
        <v>147</v>
      </c>
      <c r="H50" s="8"/>
      <c r="I50" s="8"/>
      <c r="J50" s="8"/>
      <c r="K50" s="88"/>
      <c r="L50" s="56" t="s">
        <v>151</v>
      </c>
      <c r="M50" s="8" t="s">
        <v>152</v>
      </c>
      <c r="N50" s="8" t="s">
        <v>21</v>
      </c>
      <c r="O50" s="8" t="s">
        <v>35</v>
      </c>
      <c r="AMJ50"/>
    </row>
    <row r="51" spans="1:1024" x14ac:dyDescent="0.15">
      <c r="A51" s="8"/>
      <c r="B51" s="58"/>
      <c r="C51" s="8">
        <f t="shared" si="2"/>
        <v>8</v>
      </c>
      <c r="D51" s="8"/>
      <c r="E51" s="8"/>
      <c r="F51" s="8">
        <v>17</v>
      </c>
      <c r="G51" s="8" t="s">
        <v>25</v>
      </c>
      <c r="H51" s="8"/>
      <c r="I51" s="8"/>
      <c r="J51" s="8"/>
      <c r="K51" s="25"/>
      <c r="L51" s="22" t="s">
        <v>140</v>
      </c>
      <c r="M51" s="22" t="s">
        <v>153</v>
      </c>
      <c r="N51" s="22" t="s">
        <v>142</v>
      </c>
      <c r="O51" s="22" t="s">
        <v>22</v>
      </c>
      <c r="AMJ51"/>
    </row>
    <row r="52" spans="1:1024" x14ac:dyDescent="0.15">
      <c r="A52" s="8"/>
      <c r="B52" s="58"/>
      <c r="C52" s="8">
        <f t="shared" si="2"/>
        <v>9</v>
      </c>
      <c r="D52" s="8"/>
      <c r="E52" s="8"/>
      <c r="F52" s="8">
        <v>5</v>
      </c>
      <c r="G52" s="8" t="s">
        <v>47</v>
      </c>
      <c r="H52" s="8"/>
      <c r="I52" s="8"/>
      <c r="J52" s="8"/>
      <c r="K52" s="26"/>
      <c r="L52" s="22" t="s">
        <v>140</v>
      </c>
      <c r="M52" s="22" t="s">
        <v>154</v>
      </c>
      <c r="N52" s="22" t="s">
        <v>142</v>
      </c>
      <c r="O52" s="22" t="s">
        <v>45</v>
      </c>
      <c r="AMJ52"/>
    </row>
    <row r="53" spans="1:1024" x14ac:dyDescent="0.15">
      <c r="A53" s="8"/>
      <c r="B53" s="58"/>
      <c r="C53" s="8">
        <f t="shared" si="2"/>
        <v>10</v>
      </c>
      <c r="D53" s="8"/>
      <c r="E53" s="8"/>
      <c r="F53" s="8">
        <v>18</v>
      </c>
      <c r="G53" s="8" t="s">
        <v>25</v>
      </c>
      <c r="H53" s="8"/>
      <c r="I53" s="8"/>
      <c r="J53" s="8"/>
      <c r="K53" s="26"/>
      <c r="L53" s="22" t="s">
        <v>140</v>
      </c>
      <c r="M53" s="22" t="s">
        <v>155</v>
      </c>
      <c r="N53" s="22" t="s">
        <v>142</v>
      </c>
      <c r="O53" s="22" t="s">
        <v>60</v>
      </c>
      <c r="AMJ53"/>
    </row>
    <row r="54" spans="1:1024" x14ac:dyDescent="0.15">
      <c r="A54" s="8"/>
      <c r="B54" s="58"/>
      <c r="C54" s="8">
        <f t="shared" si="2"/>
        <v>11</v>
      </c>
      <c r="D54" s="8"/>
      <c r="E54" s="8"/>
      <c r="F54" s="8">
        <v>6</v>
      </c>
      <c r="G54" s="8" t="s">
        <v>147</v>
      </c>
      <c r="H54" s="8"/>
      <c r="I54" s="8"/>
      <c r="J54" s="8"/>
      <c r="K54" s="26"/>
      <c r="L54" s="22" t="s">
        <v>140</v>
      </c>
      <c r="M54" s="22" t="s">
        <v>156</v>
      </c>
      <c r="N54" s="22" t="s">
        <v>142</v>
      </c>
      <c r="O54" s="22" t="s">
        <v>35</v>
      </c>
      <c r="AMJ54"/>
    </row>
    <row r="55" spans="1:1024" x14ac:dyDescent="0.15">
      <c r="A55" s="8"/>
      <c r="B55" s="58"/>
      <c r="C55" s="8"/>
      <c r="D55" s="8"/>
      <c r="E55" s="8"/>
      <c r="F55" s="8"/>
      <c r="G55" s="8"/>
      <c r="H55" s="8"/>
      <c r="I55" s="8"/>
      <c r="J55" s="8"/>
      <c r="K55" s="26"/>
      <c r="L55" s="22" t="s">
        <v>140</v>
      </c>
      <c r="M55" s="22" t="s">
        <v>157</v>
      </c>
      <c r="N55" s="22" t="s">
        <v>142</v>
      </c>
      <c r="O55" s="22" t="s">
        <v>65</v>
      </c>
      <c r="AMJ55"/>
    </row>
    <row r="56" spans="1:1024" x14ac:dyDescent="0.15">
      <c r="A56" s="8"/>
      <c r="B56" s="58"/>
      <c r="C56" s="8"/>
      <c r="D56" s="8"/>
      <c r="E56" s="8"/>
      <c r="F56" s="8"/>
      <c r="G56" s="8"/>
      <c r="H56" s="8"/>
      <c r="I56" s="8"/>
      <c r="J56" s="8"/>
      <c r="K56" s="26"/>
      <c r="L56" s="22" t="s">
        <v>140</v>
      </c>
      <c r="M56" s="22" t="s">
        <v>158</v>
      </c>
      <c r="N56" s="22" t="s">
        <v>142</v>
      </c>
      <c r="O56" s="22" t="s">
        <v>71</v>
      </c>
      <c r="AMJ56"/>
    </row>
    <row r="57" spans="1:1024" ht="14" x14ac:dyDescent="0.15">
      <c r="A57" s="27" t="s">
        <v>159</v>
      </c>
      <c r="B57" s="58"/>
      <c r="C57" s="28">
        <f>C54+1</f>
        <v>12</v>
      </c>
      <c r="D57" s="28" t="s">
        <v>138</v>
      </c>
      <c r="E57" s="28" t="s">
        <v>60</v>
      </c>
      <c r="F57" s="28">
        <v>19</v>
      </c>
      <c r="G57" s="28" t="s">
        <v>86</v>
      </c>
      <c r="H57" s="28"/>
      <c r="I57" s="28"/>
      <c r="J57" s="28" t="s">
        <v>69</v>
      </c>
      <c r="K57" s="29"/>
      <c r="L57" s="27"/>
      <c r="M57" s="27" t="s">
        <v>159</v>
      </c>
      <c r="N57" s="28" t="s">
        <v>138</v>
      </c>
      <c r="O57" s="28" t="s">
        <v>60</v>
      </c>
      <c r="AMJ57"/>
    </row>
    <row r="58" spans="1:1024" ht="14" x14ac:dyDescent="0.15">
      <c r="A58" s="27" t="s">
        <v>159</v>
      </c>
      <c r="B58" s="58"/>
      <c r="C58" s="28">
        <f t="shared" ref="C58:C69" si="3">C57+1</f>
        <v>13</v>
      </c>
      <c r="D58" s="28" t="s">
        <v>138</v>
      </c>
      <c r="E58" s="28" t="s">
        <v>60</v>
      </c>
      <c r="F58" s="28">
        <v>7</v>
      </c>
      <c r="G58" s="28" t="s">
        <v>47</v>
      </c>
      <c r="H58" s="28"/>
      <c r="I58" s="28"/>
      <c r="J58" s="28" t="s">
        <v>84</v>
      </c>
      <c r="K58" s="29"/>
      <c r="L58" s="27"/>
      <c r="M58" s="27" t="s">
        <v>159</v>
      </c>
      <c r="N58" s="28" t="s">
        <v>138</v>
      </c>
      <c r="O58" s="28" t="s">
        <v>60</v>
      </c>
      <c r="AMJ58"/>
    </row>
    <row r="59" spans="1:1024" ht="16" x14ac:dyDescent="0.15">
      <c r="A59" s="30" t="s">
        <v>160</v>
      </c>
      <c r="B59" s="58"/>
      <c r="C59" s="31">
        <f t="shared" si="3"/>
        <v>14</v>
      </c>
      <c r="D59" s="31" t="s">
        <v>138</v>
      </c>
      <c r="E59" s="31" t="s">
        <v>45</v>
      </c>
      <c r="F59" s="31">
        <v>20</v>
      </c>
      <c r="G59" s="31" t="s">
        <v>25</v>
      </c>
      <c r="H59" s="31"/>
      <c r="I59" s="31"/>
      <c r="J59" s="31" t="s">
        <v>74</v>
      </c>
      <c r="K59" s="32"/>
      <c r="L59" s="30"/>
      <c r="M59" s="30" t="s">
        <v>160</v>
      </c>
      <c r="N59" s="31" t="s">
        <v>138</v>
      </c>
      <c r="O59" s="31" t="s">
        <v>45</v>
      </c>
      <c r="AMJ59"/>
    </row>
    <row r="60" spans="1:1024" ht="16" x14ac:dyDescent="0.15">
      <c r="A60" s="30" t="s">
        <v>160</v>
      </c>
      <c r="B60" s="58"/>
      <c r="C60" s="31">
        <f t="shared" si="3"/>
        <v>15</v>
      </c>
      <c r="D60" s="31" t="s">
        <v>138</v>
      </c>
      <c r="E60" s="31" t="s">
        <v>45</v>
      </c>
      <c r="F60" s="31">
        <v>8</v>
      </c>
      <c r="G60" s="31" t="s">
        <v>25</v>
      </c>
      <c r="H60" s="31"/>
      <c r="I60" s="31"/>
      <c r="J60" s="31" t="s">
        <v>82</v>
      </c>
      <c r="K60" s="32"/>
      <c r="L60" s="30"/>
      <c r="M60" s="30" t="s">
        <v>160</v>
      </c>
      <c r="N60" s="31" t="s">
        <v>138</v>
      </c>
      <c r="O60" s="31" t="s">
        <v>45</v>
      </c>
      <c r="AMJ60"/>
    </row>
    <row r="61" spans="1:1024" x14ac:dyDescent="0.15">
      <c r="A61" s="8"/>
      <c r="B61" s="58"/>
      <c r="C61" s="8">
        <f t="shared" si="3"/>
        <v>16</v>
      </c>
      <c r="D61" s="8"/>
      <c r="E61" s="8"/>
      <c r="F61" s="8">
        <v>21</v>
      </c>
      <c r="G61" s="8" t="s">
        <v>161</v>
      </c>
      <c r="H61" s="8"/>
      <c r="I61" s="8"/>
      <c r="J61" s="8"/>
      <c r="K61" s="2"/>
      <c r="L61" s="22" t="s">
        <v>140</v>
      </c>
      <c r="M61" s="22" t="s">
        <v>141</v>
      </c>
      <c r="N61" s="22" t="s">
        <v>142</v>
      </c>
      <c r="O61" s="22" t="s">
        <v>74</v>
      </c>
      <c r="AMJ61"/>
    </row>
    <row r="62" spans="1:1024" ht="12.75" customHeight="1" x14ac:dyDescent="0.15">
      <c r="A62" s="8"/>
      <c r="B62" s="58"/>
      <c r="C62" s="8">
        <f t="shared" si="3"/>
        <v>17</v>
      </c>
      <c r="D62" s="8"/>
      <c r="E62" s="8"/>
      <c r="F62" s="8">
        <v>9</v>
      </c>
      <c r="G62" s="8" t="s">
        <v>70</v>
      </c>
      <c r="H62" s="8"/>
      <c r="I62" s="8"/>
      <c r="J62" s="8"/>
      <c r="K62" s="88" t="s">
        <v>162</v>
      </c>
      <c r="L62" s="56" t="s">
        <v>149</v>
      </c>
      <c r="M62" s="8" t="s">
        <v>90</v>
      </c>
      <c r="N62" s="8" t="s">
        <v>21</v>
      </c>
      <c r="O62" s="8" t="s">
        <v>91</v>
      </c>
      <c r="AMJ62"/>
    </row>
    <row r="63" spans="1:1024" x14ac:dyDescent="0.15">
      <c r="A63" s="8"/>
      <c r="B63" s="58"/>
      <c r="C63" s="8">
        <f t="shared" si="3"/>
        <v>18</v>
      </c>
      <c r="D63" s="8"/>
      <c r="E63" s="8"/>
      <c r="F63" s="8">
        <v>22</v>
      </c>
      <c r="G63" s="8" t="s">
        <v>147</v>
      </c>
      <c r="H63" s="8"/>
      <c r="I63" s="8"/>
      <c r="J63" s="8"/>
      <c r="K63" s="88"/>
      <c r="L63" s="56"/>
      <c r="M63" s="8" t="s">
        <v>93</v>
      </c>
      <c r="N63" s="8" t="s">
        <v>21</v>
      </c>
      <c r="O63" s="8" t="s">
        <v>94</v>
      </c>
      <c r="AMJ63"/>
    </row>
    <row r="64" spans="1:1024" ht="16" x14ac:dyDescent="0.15">
      <c r="A64" s="33" t="s">
        <v>163</v>
      </c>
      <c r="B64" s="58"/>
      <c r="C64" s="34">
        <f t="shared" si="3"/>
        <v>19</v>
      </c>
      <c r="D64" s="34" t="s">
        <v>138</v>
      </c>
      <c r="E64" s="34" t="s">
        <v>35</v>
      </c>
      <c r="F64" s="34">
        <v>10</v>
      </c>
      <c r="G64" s="34" t="s">
        <v>86</v>
      </c>
      <c r="H64" s="34"/>
      <c r="I64" s="34"/>
      <c r="J64" s="34" t="s">
        <v>164</v>
      </c>
      <c r="K64" s="35"/>
      <c r="L64" s="33"/>
      <c r="M64" s="33" t="s">
        <v>163</v>
      </c>
      <c r="N64" s="34" t="s">
        <v>138</v>
      </c>
      <c r="O64" s="34" t="s">
        <v>35</v>
      </c>
      <c r="AMJ64"/>
    </row>
    <row r="65" spans="1:1024" ht="16" x14ac:dyDescent="0.15">
      <c r="A65" s="33" t="s">
        <v>163</v>
      </c>
      <c r="B65" s="58"/>
      <c r="C65" s="34">
        <f t="shared" si="3"/>
        <v>20</v>
      </c>
      <c r="D65" s="34" t="s">
        <v>138</v>
      </c>
      <c r="E65" s="34" t="s">
        <v>35</v>
      </c>
      <c r="F65" s="34">
        <v>23</v>
      </c>
      <c r="G65" s="34" t="s">
        <v>165</v>
      </c>
      <c r="H65" s="34"/>
      <c r="I65" s="34"/>
      <c r="J65" s="34" t="s">
        <v>75</v>
      </c>
      <c r="K65" s="35"/>
      <c r="L65" s="36"/>
      <c r="M65" s="33" t="s">
        <v>163</v>
      </c>
      <c r="N65" s="34" t="s">
        <v>138</v>
      </c>
      <c r="O65" s="34" t="s">
        <v>35</v>
      </c>
      <c r="AMJ65"/>
    </row>
    <row r="66" spans="1:1024" x14ac:dyDescent="0.15">
      <c r="A66" s="8" t="s">
        <v>166</v>
      </c>
      <c r="B66" s="58"/>
      <c r="C66" s="8">
        <f t="shared" si="3"/>
        <v>21</v>
      </c>
      <c r="D66" s="8" t="s">
        <v>167</v>
      </c>
      <c r="E66" s="8" t="s">
        <v>22</v>
      </c>
      <c r="F66" s="8">
        <v>11</v>
      </c>
      <c r="G66" s="8" t="s">
        <v>165</v>
      </c>
      <c r="H66" s="8" t="s">
        <v>168</v>
      </c>
      <c r="I66" s="8" t="s">
        <v>169</v>
      </c>
      <c r="J66" s="2"/>
      <c r="K66" s="2"/>
      <c r="L66" s="8"/>
      <c r="M66" s="8" t="s">
        <v>166</v>
      </c>
      <c r="N66" s="8" t="s">
        <v>167</v>
      </c>
      <c r="O66" s="8" t="s">
        <v>22</v>
      </c>
      <c r="AMJ66"/>
    </row>
    <row r="67" spans="1:1024" x14ac:dyDescent="0.15">
      <c r="A67" s="8" t="s">
        <v>170</v>
      </c>
      <c r="B67" s="58"/>
      <c r="C67" s="8">
        <f t="shared" si="3"/>
        <v>22</v>
      </c>
      <c r="D67" s="8" t="s">
        <v>171</v>
      </c>
      <c r="E67" s="8" t="s">
        <v>60</v>
      </c>
      <c r="F67" s="8">
        <v>24</v>
      </c>
      <c r="G67" s="8" t="s">
        <v>165</v>
      </c>
      <c r="H67" s="8" t="s">
        <v>168</v>
      </c>
      <c r="I67" s="8" t="s">
        <v>169</v>
      </c>
      <c r="J67" s="2"/>
      <c r="K67" s="2"/>
      <c r="L67" s="8"/>
      <c r="M67" s="8" t="s">
        <v>170</v>
      </c>
      <c r="N67" s="8" t="s">
        <v>171</v>
      </c>
      <c r="O67" s="8" t="s">
        <v>60</v>
      </c>
      <c r="AMJ67"/>
    </row>
    <row r="68" spans="1:1024" x14ac:dyDescent="0.15">
      <c r="A68" s="8" t="s">
        <v>172</v>
      </c>
      <c r="B68" s="58"/>
      <c r="C68" s="8">
        <f t="shared" si="3"/>
        <v>23</v>
      </c>
      <c r="D68" s="8" t="s">
        <v>171</v>
      </c>
      <c r="E68" s="8" t="s">
        <v>22</v>
      </c>
      <c r="F68" s="8">
        <v>12</v>
      </c>
      <c r="G68" s="8" t="s">
        <v>173</v>
      </c>
      <c r="H68" s="8" t="s">
        <v>168</v>
      </c>
      <c r="I68" s="8" t="s">
        <v>169</v>
      </c>
      <c r="J68" s="2"/>
      <c r="K68" s="2"/>
      <c r="L68" s="8"/>
      <c r="M68" s="8" t="s">
        <v>172</v>
      </c>
      <c r="N68" s="8" t="s">
        <v>171</v>
      </c>
      <c r="O68" s="8" t="s">
        <v>22</v>
      </c>
      <c r="AMJ68"/>
    </row>
    <row r="69" spans="1:1024" x14ac:dyDescent="0.15">
      <c r="A69" s="8" t="s">
        <v>174</v>
      </c>
      <c r="B69" s="58"/>
      <c r="C69" s="8">
        <f t="shared" si="3"/>
        <v>24</v>
      </c>
      <c r="D69" s="8" t="s">
        <v>167</v>
      </c>
      <c r="E69" s="8" t="s">
        <v>60</v>
      </c>
      <c r="F69" s="8">
        <v>25</v>
      </c>
      <c r="G69" s="8" t="s">
        <v>47</v>
      </c>
      <c r="H69" s="8" t="s">
        <v>168</v>
      </c>
      <c r="I69" s="8" t="s">
        <v>169</v>
      </c>
      <c r="J69" s="2"/>
      <c r="K69" s="2"/>
      <c r="L69" s="8"/>
      <c r="M69" s="8" t="s">
        <v>174</v>
      </c>
      <c r="N69" s="8" t="s">
        <v>167</v>
      </c>
      <c r="O69" s="8" t="s">
        <v>60</v>
      </c>
      <c r="AMJ69"/>
    </row>
    <row r="70" spans="1:1024" ht="12.75" customHeight="1" x14ac:dyDescent="0.15">
      <c r="A70" s="8"/>
      <c r="B70" s="58"/>
      <c r="C70" s="8"/>
      <c r="D70" s="8"/>
      <c r="E70" s="8"/>
      <c r="F70" s="8"/>
      <c r="G70" s="8"/>
      <c r="H70" s="8"/>
      <c r="I70" s="8"/>
      <c r="J70" s="8"/>
      <c r="K70" s="86" t="s">
        <v>175</v>
      </c>
      <c r="L70" s="22"/>
      <c r="M70" s="22" t="s">
        <v>176</v>
      </c>
      <c r="N70" s="22" t="s">
        <v>167</v>
      </c>
      <c r="O70" s="22" t="s">
        <v>40</v>
      </c>
      <c r="AMJ70"/>
    </row>
    <row r="71" spans="1:1024" x14ac:dyDescent="0.15">
      <c r="A71" s="8"/>
      <c r="B71" s="58"/>
      <c r="C71" s="8"/>
      <c r="D71" s="8"/>
      <c r="E71" s="8"/>
      <c r="F71" s="8"/>
      <c r="G71" s="8"/>
      <c r="H71" s="8"/>
      <c r="I71" s="8"/>
      <c r="J71" s="8"/>
      <c r="K71" s="86"/>
      <c r="L71" s="22"/>
      <c r="M71" s="22" t="s">
        <v>177</v>
      </c>
      <c r="N71" s="22" t="s">
        <v>171</v>
      </c>
      <c r="O71" s="22" t="s">
        <v>40</v>
      </c>
      <c r="AMJ71"/>
    </row>
    <row r="72" spans="1:1024" x14ac:dyDescent="0.15">
      <c r="A72" s="80" t="s">
        <v>178</v>
      </c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</row>
    <row r="73" spans="1:1024" x14ac:dyDescent="0.15">
      <c r="A73" s="62" t="s">
        <v>179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</row>
    <row r="74" spans="1:1024" x14ac:dyDescent="0.15">
      <c r="A74" s="61" t="s">
        <v>180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</row>
    <row r="76" spans="1:1024" x14ac:dyDescent="0.15">
      <c r="A76" s="40" t="s">
        <v>201</v>
      </c>
    </row>
    <row r="79" spans="1:1024" x14ac:dyDescent="0.15">
      <c r="A79" s="63" t="s">
        <v>0</v>
      </c>
      <c r="B79" s="54"/>
      <c r="C79" s="54" t="s">
        <v>1</v>
      </c>
      <c r="D79" s="54"/>
      <c r="E79" s="54"/>
      <c r="F79" s="87" t="s">
        <v>132</v>
      </c>
      <c r="G79" s="87"/>
      <c r="H79" s="87"/>
      <c r="I79" s="87"/>
      <c r="J79" s="87"/>
      <c r="K79" s="54" t="s">
        <v>4</v>
      </c>
      <c r="L79" s="54" t="s">
        <v>6</v>
      </c>
      <c r="M79" s="54"/>
      <c r="N79" s="54"/>
      <c r="O79" s="54"/>
      <c r="AMJ79"/>
    </row>
    <row r="80" spans="1:1024" ht="46.25" customHeight="1" x14ac:dyDescent="0.15">
      <c r="A80" s="64"/>
      <c r="B80" s="54"/>
      <c r="C80" s="7" t="s">
        <v>7</v>
      </c>
      <c r="D80" s="56" t="s">
        <v>133</v>
      </c>
      <c r="E80" s="56" t="s">
        <v>9</v>
      </c>
      <c r="F80" s="7" t="s">
        <v>12</v>
      </c>
      <c r="G80" s="7" t="s">
        <v>13</v>
      </c>
      <c r="H80" s="18" t="s">
        <v>14</v>
      </c>
      <c r="I80" s="7" t="s">
        <v>15</v>
      </c>
      <c r="J80" s="7" t="s">
        <v>134</v>
      </c>
      <c r="K80" s="54"/>
      <c r="L80" s="2" t="s">
        <v>5</v>
      </c>
      <c r="M80" s="2" t="s">
        <v>0</v>
      </c>
      <c r="N80" s="56" t="s">
        <v>135</v>
      </c>
      <c r="O80" s="56" t="s">
        <v>11</v>
      </c>
      <c r="AMJ80"/>
    </row>
    <row r="81" spans="1:1025" ht="16" x14ac:dyDescent="0.15">
      <c r="A81" s="19" t="s">
        <v>136</v>
      </c>
      <c r="B81" s="58" t="s">
        <v>137</v>
      </c>
      <c r="C81" s="20">
        <v>1</v>
      </c>
      <c r="D81" s="20" t="s">
        <v>138</v>
      </c>
      <c r="E81" s="20" t="s">
        <v>74</v>
      </c>
      <c r="F81" s="20">
        <v>1</v>
      </c>
      <c r="G81" s="20" t="s">
        <v>139</v>
      </c>
      <c r="H81" s="20"/>
      <c r="I81" s="20"/>
      <c r="J81" s="20" t="s">
        <v>35</v>
      </c>
      <c r="K81" s="21"/>
      <c r="L81" s="19"/>
      <c r="M81" s="19" t="s">
        <v>136</v>
      </c>
      <c r="N81" s="20" t="s">
        <v>138</v>
      </c>
      <c r="O81" s="20" t="s">
        <v>74</v>
      </c>
      <c r="AMJ81"/>
    </row>
    <row r="82" spans="1:1025" ht="16" x14ac:dyDescent="0.15">
      <c r="A82" s="19" t="s">
        <v>195</v>
      </c>
      <c r="B82" s="82"/>
      <c r="C82" s="20">
        <f t="shared" ref="C82:C91" si="4">C81+1</f>
        <v>2</v>
      </c>
      <c r="D82" s="20" t="s">
        <v>138</v>
      </c>
      <c r="E82" s="20" t="s">
        <v>74</v>
      </c>
      <c r="F82" s="20">
        <v>2</v>
      </c>
      <c r="G82" s="20" t="s">
        <v>143</v>
      </c>
      <c r="H82" s="20"/>
      <c r="I82" s="20"/>
      <c r="J82" s="20" t="s">
        <v>22</v>
      </c>
      <c r="K82" s="21"/>
      <c r="L82" s="19"/>
      <c r="M82" s="19" t="s">
        <v>136</v>
      </c>
      <c r="N82" s="20" t="s">
        <v>138</v>
      </c>
      <c r="O82" s="20" t="s">
        <v>74</v>
      </c>
      <c r="AMJ82"/>
    </row>
    <row r="83" spans="1:1025" x14ac:dyDescent="0.15">
      <c r="A83" s="8"/>
      <c r="B83" s="58"/>
      <c r="C83" s="8">
        <f t="shared" si="4"/>
        <v>3</v>
      </c>
      <c r="D83" s="8"/>
      <c r="E83" s="8"/>
      <c r="F83" s="8">
        <v>14</v>
      </c>
      <c r="G83" s="8" t="s">
        <v>47</v>
      </c>
      <c r="H83" s="8"/>
      <c r="I83" s="8"/>
      <c r="J83" s="8"/>
      <c r="K83" s="2"/>
      <c r="L83" s="22" t="s">
        <v>140</v>
      </c>
      <c r="M83" s="22" t="s">
        <v>141</v>
      </c>
      <c r="N83" s="22" t="s">
        <v>142</v>
      </c>
      <c r="O83" s="22" t="s">
        <v>69</v>
      </c>
      <c r="AMJ83"/>
    </row>
    <row r="84" spans="1:1025" ht="15" x14ac:dyDescent="0.15">
      <c r="A84" s="23" t="s">
        <v>144</v>
      </c>
      <c r="B84" s="58"/>
      <c r="C84" s="23">
        <f t="shared" si="4"/>
        <v>4</v>
      </c>
      <c r="D84" s="23" t="s">
        <v>138</v>
      </c>
      <c r="E84" s="23" t="s">
        <v>40</v>
      </c>
      <c r="F84" s="23">
        <v>15</v>
      </c>
      <c r="G84" s="23" t="s">
        <v>139</v>
      </c>
      <c r="H84" s="23"/>
      <c r="I84" s="23"/>
      <c r="J84" s="6" t="s">
        <v>40</v>
      </c>
      <c r="K84" s="24" t="s">
        <v>145</v>
      </c>
      <c r="L84" s="23" t="s">
        <v>146</v>
      </c>
      <c r="M84" s="23" t="s">
        <v>144</v>
      </c>
      <c r="N84" s="23" t="s">
        <v>138</v>
      </c>
      <c r="O84" s="23" t="s">
        <v>40</v>
      </c>
      <c r="AMJ84"/>
    </row>
    <row r="85" spans="1:1025" ht="15" x14ac:dyDescent="0.15">
      <c r="A85" s="23" t="s">
        <v>144</v>
      </c>
      <c r="B85" s="58"/>
      <c r="C85" s="23">
        <f t="shared" si="4"/>
        <v>5</v>
      </c>
      <c r="D85" s="23" t="s">
        <v>138</v>
      </c>
      <c r="E85" s="23" t="s">
        <v>40</v>
      </c>
      <c r="F85" s="23">
        <v>3</v>
      </c>
      <c r="G85" s="23" t="s">
        <v>147</v>
      </c>
      <c r="H85" s="23"/>
      <c r="I85" s="23"/>
      <c r="J85" s="6" t="s">
        <v>46</v>
      </c>
      <c r="K85" s="24" t="s">
        <v>145</v>
      </c>
      <c r="L85" s="23" t="s">
        <v>146</v>
      </c>
      <c r="M85" s="23" t="s">
        <v>144</v>
      </c>
      <c r="N85" s="23" t="s">
        <v>138</v>
      </c>
      <c r="O85" s="23" t="s">
        <v>40</v>
      </c>
      <c r="AMJ85"/>
    </row>
    <row r="86" spans="1:1025" s="51" customFormat="1" ht="12.75" customHeight="1" x14ac:dyDescent="0.15">
      <c r="A86" s="45" t="s">
        <v>207</v>
      </c>
      <c r="B86" s="83"/>
      <c r="C86" s="47">
        <f t="shared" si="4"/>
        <v>6</v>
      </c>
      <c r="D86" s="47"/>
      <c r="E86" s="47"/>
      <c r="F86" s="47">
        <v>16</v>
      </c>
      <c r="G86" s="47" t="s">
        <v>47</v>
      </c>
      <c r="H86" s="47"/>
      <c r="I86" s="48"/>
      <c r="J86" s="49"/>
      <c r="K86" s="84"/>
      <c r="L86" s="85"/>
      <c r="M86" s="47"/>
      <c r="N86" s="47" t="s">
        <v>167</v>
      </c>
      <c r="O86" s="47" t="s">
        <v>60</v>
      </c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K86" s="50"/>
    </row>
    <row r="87" spans="1:1025" s="51" customFormat="1" x14ac:dyDescent="0.15">
      <c r="A87" s="47" t="s">
        <v>208</v>
      </c>
      <c r="B87" s="83"/>
      <c r="C87" s="47">
        <f t="shared" si="4"/>
        <v>7</v>
      </c>
      <c r="D87" s="47"/>
      <c r="E87" s="47"/>
      <c r="F87" s="47">
        <v>4</v>
      </c>
      <c r="G87" s="47" t="s">
        <v>147</v>
      </c>
      <c r="H87" s="47"/>
      <c r="I87" s="48"/>
      <c r="J87" s="49"/>
      <c r="K87" s="84"/>
      <c r="L87" s="85"/>
      <c r="M87" s="47"/>
      <c r="N87" s="47" t="s">
        <v>171</v>
      </c>
      <c r="O87" s="47" t="s">
        <v>60</v>
      </c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K87" s="50"/>
    </row>
    <row r="88" spans="1:1025" x14ac:dyDescent="0.15">
      <c r="A88" s="8" t="s">
        <v>202</v>
      </c>
      <c r="B88" s="82"/>
      <c r="C88" s="8">
        <f t="shared" si="4"/>
        <v>8</v>
      </c>
      <c r="D88" s="8"/>
      <c r="E88" s="8"/>
      <c r="F88" s="8">
        <v>17</v>
      </c>
      <c r="G88" s="8" t="s">
        <v>25</v>
      </c>
      <c r="H88" s="8"/>
      <c r="I88" s="8"/>
      <c r="J88" s="8"/>
      <c r="K88" s="25"/>
      <c r="L88" s="22" t="s">
        <v>140</v>
      </c>
      <c r="M88" s="22" t="s">
        <v>153</v>
      </c>
      <c r="N88" s="22" t="s">
        <v>142</v>
      </c>
      <c r="O88" s="22" t="s">
        <v>22</v>
      </c>
      <c r="AMJ88"/>
    </row>
    <row r="89" spans="1:1025" x14ac:dyDescent="0.15">
      <c r="A89" s="8" t="s">
        <v>203</v>
      </c>
      <c r="B89" s="82"/>
      <c r="C89" s="8">
        <f t="shared" si="4"/>
        <v>9</v>
      </c>
      <c r="D89" s="8"/>
      <c r="E89" s="8"/>
      <c r="F89" s="8">
        <v>5</v>
      </c>
      <c r="G89" s="8" t="s">
        <v>47</v>
      </c>
      <c r="H89" s="8"/>
      <c r="I89" s="8"/>
      <c r="J89" s="8"/>
      <c r="K89" s="26"/>
      <c r="L89" s="22" t="s">
        <v>140</v>
      </c>
      <c r="M89" s="22" t="s">
        <v>154</v>
      </c>
      <c r="N89" s="22" t="s">
        <v>142</v>
      </c>
      <c r="O89" s="22" t="s">
        <v>45</v>
      </c>
      <c r="AMJ89"/>
    </row>
    <row r="90" spans="1:1025" x14ac:dyDescent="0.15">
      <c r="A90" s="8" t="s">
        <v>202</v>
      </c>
      <c r="B90" s="82"/>
      <c r="C90" s="8">
        <f t="shared" si="4"/>
        <v>10</v>
      </c>
      <c r="D90" s="8"/>
      <c r="E90" s="8"/>
      <c r="F90" s="8">
        <v>18</v>
      </c>
      <c r="G90" s="8" t="s">
        <v>25</v>
      </c>
      <c r="H90" s="8"/>
      <c r="I90" s="8"/>
      <c r="J90" s="8"/>
      <c r="K90" s="26"/>
      <c r="L90" s="22" t="s">
        <v>140</v>
      </c>
      <c r="M90" s="22" t="s">
        <v>155</v>
      </c>
      <c r="N90" s="22" t="s">
        <v>142</v>
      </c>
      <c r="O90" s="22" t="s">
        <v>60</v>
      </c>
      <c r="AMJ90"/>
    </row>
    <row r="91" spans="1:1025" x14ac:dyDescent="0.15">
      <c r="A91" s="8" t="s">
        <v>203</v>
      </c>
      <c r="B91" s="82"/>
      <c r="C91" s="8">
        <f t="shared" si="4"/>
        <v>11</v>
      </c>
      <c r="D91" s="8"/>
      <c r="E91" s="8"/>
      <c r="F91" s="8">
        <v>6</v>
      </c>
      <c r="G91" s="8" t="s">
        <v>147</v>
      </c>
      <c r="H91" s="8"/>
      <c r="I91" s="8"/>
      <c r="J91" s="8"/>
      <c r="K91" s="26"/>
      <c r="L91" s="22" t="s">
        <v>140</v>
      </c>
      <c r="M91" s="22" t="s">
        <v>156</v>
      </c>
      <c r="N91" s="22" t="s">
        <v>142</v>
      </c>
      <c r="O91" s="22" t="s">
        <v>35</v>
      </c>
      <c r="AMJ91"/>
    </row>
    <row r="92" spans="1:1025" x14ac:dyDescent="0.15">
      <c r="A92" s="8"/>
      <c r="B92" s="82"/>
      <c r="C92" s="8"/>
      <c r="D92" s="8"/>
      <c r="E92" s="8"/>
      <c r="F92" s="8"/>
      <c r="G92" s="8"/>
      <c r="H92" s="8"/>
      <c r="I92" s="8"/>
      <c r="J92" s="8"/>
      <c r="K92" s="26"/>
      <c r="L92" s="22" t="s">
        <v>140</v>
      </c>
      <c r="M92" s="22" t="s">
        <v>157</v>
      </c>
      <c r="N92" s="22" t="s">
        <v>142</v>
      </c>
      <c r="O92" s="22" t="s">
        <v>65</v>
      </c>
      <c r="AMJ92"/>
    </row>
    <row r="93" spans="1:1025" x14ac:dyDescent="0.15">
      <c r="A93" s="8"/>
      <c r="B93" s="82"/>
      <c r="C93" s="8"/>
      <c r="D93" s="8"/>
      <c r="E93" s="8"/>
      <c r="F93" s="8"/>
      <c r="G93" s="8"/>
      <c r="H93" s="8"/>
      <c r="I93" s="8"/>
      <c r="J93" s="8"/>
      <c r="K93" s="26"/>
      <c r="L93" s="22" t="s">
        <v>140</v>
      </c>
      <c r="M93" s="22" t="s">
        <v>158</v>
      </c>
      <c r="N93" s="22" t="s">
        <v>142</v>
      </c>
      <c r="O93" s="22" t="s">
        <v>71</v>
      </c>
      <c r="AMJ93"/>
    </row>
    <row r="94" spans="1:1025" ht="14" x14ac:dyDescent="0.15">
      <c r="A94" s="27" t="s">
        <v>159</v>
      </c>
      <c r="B94" s="58"/>
      <c r="C94" s="28">
        <f>C91+1</f>
        <v>12</v>
      </c>
      <c r="D94" s="28" t="s">
        <v>138</v>
      </c>
      <c r="E94" s="28" t="s">
        <v>60</v>
      </c>
      <c r="F94" s="28">
        <v>19</v>
      </c>
      <c r="G94" s="28" t="s">
        <v>86</v>
      </c>
      <c r="H94" s="28"/>
      <c r="I94" s="28"/>
      <c r="J94" s="28" t="s">
        <v>69</v>
      </c>
      <c r="K94" s="29"/>
      <c r="L94" s="27"/>
      <c r="M94" s="27" t="s">
        <v>159</v>
      </c>
      <c r="N94" s="28" t="s">
        <v>138</v>
      </c>
      <c r="O94" s="28" t="s">
        <v>60</v>
      </c>
      <c r="AMJ94"/>
    </row>
    <row r="95" spans="1:1025" ht="14" x14ac:dyDescent="0.15">
      <c r="A95" s="27" t="s">
        <v>159</v>
      </c>
      <c r="B95" s="58"/>
      <c r="C95" s="28">
        <f t="shared" ref="C95:C106" si="5">C94+1</f>
        <v>13</v>
      </c>
      <c r="D95" s="28" t="s">
        <v>138</v>
      </c>
      <c r="E95" s="28" t="s">
        <v>60</v>
      </c>
      <c r="F95" s="28">
        <v>7</v>
      </c>
      <c r="G95" s="28" t="s">
        <v>47</v>
      </c>
      <c r="H95" s="28"/>
      <c r="I95" s="28"/>
      <c r="J95" s="28" t="s">
        <v>84</v>
      </c>
      <c r="K95" s="29"/>
      <c r="L95" s="27"/>
      <c r="M95" s="27" t="s">
        <v>159</v>
      </c>
      <c r="N95" s="28" t="s">
        <v>138</v>
      </c>
      <c r="O95" s="28" t="s">
        <v>60</v>
      </c>
      <c r="AMJ95"/>
    </row>
    <row r="96" spans="1:1025" ht="16" x14ac:dyDescent="0.15">
      <c r="A96" s="30" t="s">
        <v>160</v>
      </c>
      <c r="B96" s="58"/>
      <c r="C96" s="31">
        <f t="shared" si="5"/>
        <v>14</v>
      </c>
      <c r="D96" s="31" t="s">
        <v>138</v>
      </c>
      <c r="E96" s="31" t="s">
        <v>45</v>
      </c>
      <c r="F96" s="31">
        <v>20</v>
      </c>
      <c r="G96" s="31" t="s">
        <v>25</v>
      </c>
      <c r="H96" s="31"/>
      <c r="I96" s="31"/>
      <c r="J96" s="31" t="s">
        <v>74</v>
      </c>
      <c r="K96" s="32"/>
      <c r="L96" s="30"/>
      <c r="M96" s="30" t="s">
        <v>160</v>
      </c>
      <c r="N96" s="31" t="s">
        <v>138</v>
      </c>
      <c r="O96" s="31" t="s">
        <v>45</v>
      </c>
      <c r="AMJ96"/>
    </row>
    <row r="97" spans="1:1025" ht="16" x14ac:dyDescent="0.15">
      <c r="A97" s="30" t="s">
        <v>160</v>
      </c>
      <c r="B97" s="58"/>
      <c r="C97" s="31">
        <f t="shared" si="5"/>
        <v>15</v>
      </c>
      <c r="D97" s="31" t="s">
        <v>138</v>
      </c>
      <c r="E97" s="31" t="s">
        <v>45</v>
      </c>
      <c r="F97" s="31">
        <v>8</v>
      </c>
      <c r="G97" s="31" t="s">
        <v>25</v>
      </c>
      <c r="H97" s="31"/>
      <c r="I97" s="31"/>
      <c r="J97" s="31" t="s">
        <v>82</v>
      </c>
      <c r="K97" s="32"/>
      <c r="L97" s="30"/>
      <c r="M97" s="30" t="s">
        <v>160</v>
      </c>
      <c r="N97" s="31" t="s">
        <v>138</v>
      </c>
      <c r="O97" s="31" t="s">
        <v>45</v>
      </c>
      <c r="AMJ97"/>
    </row>
    <row r="98" spans="1:1025" s="51" customFormat="1" x14ac:dyDescent="0.15">
      <c r="A98" s="46"/>
      <c r="B98" s="83"/>
      <c r="C98" s="47">
        <f t="shared" si="5"/>
        <v>16</v>
      </c>
      <c r="D98" s="47"/>
      <c r="E98" s="47"/>
      <c r="F98" s="47">
        <v>21</v>
      </c>
      <c r="G98" s="47" t="s">
        <v>161</v>
      </c>
      <c r="H98" s="47"/>
      <c r="I98" s="47"/>
      <c r="J98" s="47"/>
      <c r="K98" s="48"/>
      <c r="L98" s="47" t="s">
        <v>140</v>
      </c>
      <c r="M98" s="47" t="s">
        <v>141</v>
      </c>
      <c r="N98" s="47" t="s">
        <v>142</v>
      </c>
      <c r="O98" s="47" t="s">
        <v>74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K98" s="50"/>
    </row>
    <row r="99" spans="1:1025" s="51" customFormat="1" ht="12.75" customHeight="1" x14ac:dyDescent="0.15">
      <c r="A99" s="47" t="s">
        <v>206</v>
      </c>
      <c r="B99" s="83"/>
      <c r="C99" s="47">
        <f t="shared" si="5"/>
        <v>17</v>
      </c>
      <c r="D99" s="47"/>
      <c r="E99" s="47"/>
      <c r="F99" s="47">
        <v>9</v>
      </c>
      <c r="G99" s="47" t="s">
        <v>70</v>
      </c>
      <c r="H99" s="47"/>
      <c r="I99" s="48"/>
      <c r="J99" s="49"/>
      <c r="K99" s="84"/>
      <c r="L99" s="85"/>
      <c r="M99" s="47"/>
      <c r="N99" s="47" t="s">
        <v>167</v>
      </c>
      <c r="O99" s="47" t="s">
        <v>22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  <c r="EP99" s="50"/>
      <c r="EQ99" s="50"/>
      <c r="ER99" s="50"/>
      <c r="ES99" s="50"/>
      <c r="ET99" s="50"/>
      <c r="EU99" s="50"/>
      <c r="EV99" s="50"/>
      <c r="EW99" s="50"/>
      <c r="EX99" s="50"/>
      <c r="EY99" s="50"/>
      <c r="EZ99" s="50"/>
      <c r="FA99" s="50"/>
      <c r="FB99" s="50"/>
      <c r="FC99" s="50"/>
      <c r="FD99" s="50"/>
      <c r="FE99" s="50"/>
      <c r="FF99" s="50"/>
      <c r="FG99" s="50"/>
      <c r="FH99" s="50"/>
      <c r="FI99" s="50"/>
      <c r="FJ99" s="50"/>
      <c r="FK99" s="50"/>
      <c r="FL99" s="50"/>
      <c r="FM99" s="50"/>
      <c r="FN99" s="50"/>
      <c r="FO99" s="50"/>
      <c r="FP99" s="50"/>
      <c r="FQ99" s="50"/>
      <c r="FR99" s="50"/>
      <c r="FS99" s="50"/>
      <c r="FT99" s="50"/>
      <c r="FU99" s="50"/>
      <c r="FV99" s="50"/>
      <c r="FW99" s="50"/>
      <c r="FX99" s="50"/>
      <c r="FY99" s="50"/>
      <c r="FZ99" s="50"/>
      <c r="GA99" s="50"/>
      <c r="GB99" s="50"/>
      <c r="GC99" s="50"/>
      <c r="GD99" s="50"/>
      <c r="GE99" s="50"/>
      <c r="GF99" s="50"/>
      <c r="GG99" s="50"/>
      <c r="GH99" s="50"/>
      <c r="GI99" s="50"/>
      <c r="GJ99" s="50"/>
      <c r="GK99" s="50"/>
      <c r="GL99" s="50"/>
      <c r="GM99" s="50"/>
      <c r="GN99" s="50"/>
      <c r="GO99" s="50"/>
      <c r="GP99" s="50"/>
      <c r="GQ99" s="50"/>
      <c r="GR99" s="50"/>
      <c r="GS99" s="50"/>
      <c r="GT99" s="50"/>
      <c r="GU99" s="50"/>
      <c r="GV99" s="50"/>
      <c r="GW99" s="50"/>
      <c r="GX99" s="50"/>
      <c r="GY99" s="50"/>
      <c r="GZ99" s="50"/>
      <c r="HA99" s="50"/>
      <c r="HB99" s="50"/>
      <c r="HC99" s="50"/>
      <c r="HD99" s="50"/>
      <c r="HE99" s="50"/>
      <c r="HF99" s="50"/>
      <c r="HG99" s="50"/>
      <c r="HH99" s="50"/>
      <c r="HI99" s="50"/>
      <c r="HJ99" s="50"/>
      <c r="HK99" s="50"/>
      <c r="HL99" s="50"/>
      <c r="HM99" s="50"/>
      <c r="HN99" s="50"/>
      <c r="HO99" s="50"/>
      <c r="HP99" s="50"/>
      <c r="HQ99" s="50"/>
      <c r="HR99" s="50"/>
      <c r="HS99" s="50"/>
      <c r="HT99" s="50"/>
      <c r="HU99" s="50"/>
      <c r="HV99" s="50"/>
      <c r="HW99" s="50"/>
      <c r="HX99" s="50"/>
      <c r="HY99" s="50"/>
      <c r="HZ99" s="50"/>
      <c r="IA99" s="50"/>
      <c r="IB99" s="50"/>
      <c r="IC99" s="50"/>
      <c r="ID99" s="50"/>
      <c r="IE99" s="50"/>
      <c r="IF99" s="50"/>
      <c r="IG99" s="50"/>
      <c r="IH99" s="50"/>
      <c r="II99" s="50"/>
      <c r="IJ99" s="50"/>
      <c r="IK99" s="50"/>
      <c r="IL99" s="50"/>
      <c r="IM99" s="50"/>
      <c r="IN99" s="50"/>
      <c r="IO99" s="50"/>
      <c r="IP99" s="50"/>
      <c r="IQ99" s="50"/>
      <c r="IR99" s="50"/>
      <c r="IS99" s="50"/>
      <c r="IT99" s="50"/>
      <c r="IU99" s="50"/>
      <c r="IV99" s="50"/>
      <c r="IW99" s="50"/>
      <c r="IX99" s="50"/>
      <c r="IY99" s="50"/>
      <c r="IZ99" s="50"/>
      <c r="JA99" s="50"/>
      <c r="JB99" s="50"/>
      <c r="JC99" s="50"/>
      <c r="JD99" s="50"/>
      <c r="JE99" s="50"/>
      <c r="JF99" s="50"/>
      <c r="JG99" s="50"/>
      <c r="JH99" s="50"/>
      <c r="JI99" s="50"/>
      <c r="JJ99" s="50"/>
      <c r="JK99" s="50"/>
      <c r="JL99" s="50"/>
      <c r="JM99" s="50"/>
      <c r="JN99" s="50"/>
      <c r="JO99" s="50"/>
      <c r="JP99" s="50"/>
      <c r="JQ99" s="50"/>
      <c r="JR99" s="50"/>
      <c r="JS99" s="50"/>
      <c r="JT99" s="50"/>
      <c r="JU99" s="50"/>
      <c r="JV99" s="50"/>
      <c r="JW99" s="50"/>
      <c r="JX99" s="50"/>
      <c r="JY99" s="50"/>
      <c r="JZ99" s="50"/>
      <c r="KA99" s="50"/>
      <c r="KB99" s="50"/>
      <c r="KC99" s="50"/>
      <c r="KD99" s="50"/>
      <c r="KE99" s="50"/>
      <c r="KF99" s="50"/>
      <c r="KG99" s="50"/>
      <c r="KH99" s="50"/>
      <c r="KI99" s="50"/>
      <c r="KJ99" s="50"/>
      <c r="KK99" s="50"/>
      <c r="KL99" s="50"/>
      <c r="KM99" s="50"/>
      <c r="KN99" s="50"/>
      <c r="KO99" s="50"/>
      <c r="KP99" s="50"/>
      <c r="KQ99" s="50"/>
      <c r="KR99" s="50"/>
      <c r="KS99" s="50"/>
      <c r="KT99" s="50"/>
      <c r="KU99" s="50"/>
      <c r="KV99" s="50"/>
      <c r="KW99" s="50"/>
      <c r="KX99" s="50"/>
      <c r="KY99" s="50"/>
      <c r="KZ99" s="50"/>
      <c r="LA99" s="50"/>
      <c r="LB99" s="50"/>
      <c r="LC99" s="50"/>
      <c r="LD99" s="50"/>
      <c r="LE99" s="50"/>
      <c r="LF99" s="50"/>
      <c r="LG99" s="50"/>
      <c r="LH99" s="50"/>
      <c r="LI99" s="50"/>
      <c r="LJ99" s="50"/>
      <c r="LK99" s="50"/>
      <c r="LL99" s="50"/>
      <c r="LM99" s="50"/>
      <c r="LN99" s="50"/>
      <c r="LO99" s="50"/>
      <c r="LP99" s="50"/>
      <c r="LQ99" s="50"/>
      <c r="LR99" s="50"/>
      <c r="LS99" s="50"/>
      <c r="LT99" s="50"/>
      <c r="LU99" s="50"/>
      <c r="LV99" s="50"/>
      <c r="LW99" s="50"/>
      <c r="LX99" s="50"/>
      <c r="LY99" s="50"/>
      <c r="LZ99" s="50"/>
      <c r="MA99" s="50"/>
      <c r="MB99" s="50"/>
      <c r="MC99" s="50"/>
      <c r="MD99" s="50"/>
      <c r="ME99" s="50"/>
      <c r="MF99" s="50"/>
      <c r="MG99" s="50"/>
      <c r="MH99" s="50"/>
      <c r="MI99" s="50"/>
      <c r="MJ99" s="50"/>
      <c r="MK99" s="50"/>
      <c r="ML99" s="50"/>
      <c r="MM99" s="50"/>
      <c r="MN99" s="50"/>
      <c r="MO99" s="50"/>
      <c r="MP99" s="50"/>
      <c r="MQ99" s="50"/>
      <c r="MR99" s="50"/>
      <c r="MS99" s="50"/>
      <c r="MT99" s="50"/>
      <c r="MU99" s="50"/>
      <c r="MV99" s="50"/>
      <c r="MW99" s="50"/>
      <c r="MX99" s="50"/>
      <c r="MY99" s="50"/>
      <c r="MZ99" s="50"/>
      <c r="NA99" s="50"/>
      <c r="NB99" s="50"/>
      <c r="NC99" s="50"/>
      <c r="ND99" s="50"/>
      <c r="NE99" s="50"/>
      <c r="NF99" s="50"/>
      <c r="NG99" s="50"/>
      <c r="NH99" s="50"/>
      <c r="NI99" s="50"/>
      <c r="NJ99" s="50"/>
      <c r="NK99" s="50"/>
      <c r="NL99" s="50"/>
      <c r="NM99" s="50"/>
      <c r="NN99" s="50"/>
      <c r="NO99" s="50"/>
      <c r="NP99" s="50"/>
      <c r="NQ99" s="50"/>
      <c r="NR99" s="50"/>
      <c r="NS99" s="50"/>
      <c r="NT99" s="50"/>
      <c r="NU99" s="50"/>
      <c r="NV99" s="50"/>
      <c r="NW99" s="50"/>
      <c r="NX99" s="50"/>
      <c r="NY99" s="50"/>
      <c r="NZ99" s="50"/>
      <c r="OA99" s="50"/>
      <c r="OB99" s="50"/>
      <c r="OC99" s="50"/>
      <c r="OD99" s="50"/>
      <c r="OE99" s="50"/>
      <c r="OF99" s="50"/>
      <c r="OG99" s="50"/>
      <c r="OH99" s="50"/>
      <c r="OI99" s="50"/>
      <c r="OJ99" s="50"/>
      <c r="OK99" s="50"/>
      <c r="OL99" s="50"/>
      <c r="OM99" s="50"/>
      <c r="ON99" s="50"/>
      <c r="OO99" s="50"/>
      <c r="OP99" s="50"/>
      <c r="OQ99" s="50"/>
      <c r="OR99" s="50"/>
      <c r="OS99" s="50"/>
      <c r="OT99" s="50"/>
      <c r="OU99" s="50"/>
      <c r="OV99" s="50"/>
      <c r="OW99" s="50"/>
      <c r="OX99" s="50"/>
      <c r="OY99" s="50"/>
      <c r="OZ99" s="50"/>
      <c r="PA99" s="50"/>
      <c r="PB99" s="50"/>
      <c r="PC99" s="50"/>
      <c r="PD99" s="50"/>
      <c r="PE99" s="50"/>
      <c r="PF99" s="50"/>
      <c r="PG99" s="50"/>
      <c r="PH99" s="50"/>
      <c r="PI99" s="50"/>
      <c r="PJ99" s="50"/>
      <c r="PK99" s="50"/>
      <c r="PL99" s="50"/>
      <c r="PM99" s="50"/>
      <c r="PN99" s="50"/>
      <c r="PO99" s="50"/>
      <c r="PP99" s="50"/>
      <c r="PQ99" s="50"/>
      <c r="PR99" s="50"/>
      <c r="PS99" s="50"/>
      <c r="PT99" s="50"/>
      <c r="PU99" s="50"/>
      <c r="PV99" s="50"/>
      <c r="PW99" s="50"/>
      <c r="PX99" s="50"/>
      <c r="PY99" s="50"/>
      <c r="PZ99" s="50"/>
      <c r="QA99" s="50"/>
      <c r="QB99" s="50"/>
      <c r="QC99" s="50"/>
      <c r="QD99" s="50"/>
      <c r="QE99" s="50"/>
      <c r="QF99" s="50"/>
      <c r="QG99" s="50"/>
      <c r="QH99" s="50"/>
      <c r="QI99" s="50"/>
      <c r="QJ99" s="50"/>
      <c r="QK99" s="50"/>
      <c r="QL99" s="50"/>
      <c r="QM99" s="50"/>
      <c r="QN99" s="50"/>
      <c r="QO99" s="50"/>
      <c r="QP99" s="50"/>
      <c r="QQ99" s="50"/>
      <c r="QR99" s="50"/>
      <c r="QS99" s="50"/>
      <c r="QT99" s="50"/>
      <c r="QU99" s="50"/>
      <c r="QV99" s="50"/>
      <c r="QW99" s="50"/>
      <c r="QX99" s="50"/>
      <c r="QY99" s="50"/>
      <c r="QZ99" s="50"/>
      <c r="RA99" s="50"/>
      <c r="RB99" s="50"/>
      <c r="RC99" s="50"/>
      <c r="RD99" s="50"/>
      <c r="RE99" s="50"/>
      <c r="RF99" s="50"/>
      <c r="RG99" s="50"/>
      <c r="RH99" s="50"/>
      <c r="RI99" s="50"/>
      <c r="RJ99" s="50"/>
      <c r="RK99" s="50"/>
      <c r="RL99" s="50"/>
      <c r="RM99" s="50"/>
      <c r="RN99" s="50"/>
      <c r="RO99" s="50"/>
      <c r="RP99" s="50"/>
      <c r="RQ99" s="50"/>
      <c r="RR99" s="50"/>
      <c r="RS99" s="50"/>
      <c r="RT99" s="50"/>
      <c r="RU99" s="50"/>
      <c r="RV99" s="50"/>
      <c r="RW99" s="50"/>
      <c r="RX99" s="50"/>
      <c r="RY99" s="50"/>
      <c r="RZ99" s="50"/>
      <c r="SA99" s="50"/>
      <c r="SB99" s="50"/>
      <c r="SC99" s="50"/>
      <c r="SD99" s="50"/>
      <c r="SE99" s="50"/>
      <c r="SF99" s="50"/>
      <c r="SG99" s="50"/>
      <c r="SH99" s="50"/>
      <c r="SI99" s="50"/>
      <c r="SJ99" s="50"/>
      <c r="SK99" s="50"/>
      <c r="SL99" s="50"/>
      <c r="SM99" s="50"/>
      <c r="SN99" s="50"/>
      <c r="SO99" s="50"/>
      <c r="SP99" s="50"/>
      <c r="SQ99" s="50"/>
      <c r="SR99" s="50"/>
      <c r="SS99" s="50"/>
      <c r="ST99" s="50"/>
      <c r="SU99" s="50"/>
      <c r="SV99" s="50"/>
      <c r="SW99" s="50"/>
      <c r="SX99" s="50"/>
      <c r="SY99" s="50"/>
      <c r="SZ99" s="50"/>
      <c r="TA99" s="50"/>
      <c r="TB99" s="50"/>
      <c r="TC99" s="50"/>
      <c r="TD99" s="50"/>
      <c r="TE99" s="50"/>
      <c r="TF99" s="50"/>
      <c r="TG99" s="50"/>
      <c r="TH99" s="50"/>
      <c r="TI99" s="50"/>
      <c r="TJ99" s="50"/>
      <c r="TK99" s="50"/>
      <c r="TL99" s="50"/>
      <c r="TM99" s="50"/>
      <c r="TN99" s="50"/>
      <c r="TO99" s="50"/>
      <c r="TP99" s="50"/>
      <c r="TQ99" s="50"/>
      <c r="TR99" s="50"/>
      <c r="TS99" s="50"/>
      <c r="TT99" s="50"/>
      <c r="TU99" s="50"/>
      <c r="TV99" s="50"/>
      <c r="TW99" s="50"/>
      <c r="TX99" s="50"/>
      <c r="TY99" s="50"/>
      <c r="TZ99" s="50"/>
      <c r="UA99" s="50"/>
      <c r="UB99" s="50"/>
      <c r="UC99" s="50"/>
      <c r="UD99" s="50"/>
      <c r="UE99" s="50"/>
      <c r="UF99" s="50"/>
      <c r="UG99" s="50"/>
      <c r="UH99" s="50"/>
      <c r="UI99" s="50"/>
      <c r="UJ99" s="50"/>
      <c r="UK99" s="50"/>
      <c r="UL99" s="50"/>
      <c r="UM99" s="50"/>
      <c r="UN99" s="50"/>
      <c r="UO99" s="50"/>
      <c r="UP99" s="50"/>
      <c r="UQ99" s="50"/>
      <c r="UR99" s="50"/>
      <c r="US99" s="50"/>
      <c r="UT99" s="50"/>
      <c r="UU99" s="50"/>
      <c r="UV99" s="50"/>
      <c r="UW99" s="50"/>
      <c r="UX99" s="50"/>
      <c r="UY99" s="50"/>
      <c r="UZ99" s="50"/>
      <c r="VA99" s="50"/>
      <c r="VB99" s="50"/>
      <c r="VC99" s="50"/>
      <c r="VD99" s="50"/>
      <c r="VE99" s="50"/>
      <c r="VF99" s="50"/>
      <c r="VG99" s="50"/>
      <c r="VH99" s="50"/>
      <c r="VI99" s="50"/>
      <c r="VJ99" s="50"/>
      <c r="VK99" s="50"/>
      <c r="VL99" s="50"/>
      <c r="VM99" s="50"/>
      <c r="VN99" s="50"/>
      <c r="VO99" s="50"/>
      <c r="VP99" s="50"/>
      <c r="VQ99" s="50"/>
      <c r="VR99" s="50"/>
      <c r="VS99" s="50"/>
      <c r="VT99" s="50"/>
      <c r="VU99" s="50"/>
      <c r="VV99" s="50"/>
      <c r="VW99" s="50"/>
      <c r="VX99" s="50"/>
      <c r="VY99" s="50"/>
      <c r="VZ99" s="50"/>
      <c r="WA99" s="50"/>
      <c r="WB99" s="50"/>
      <c r="WC99" s="50"/>
      <c r="WD99" s="50"/>
      <c r="WE99" s="50"/>
      <c r="WF99" s="50"/>
      <c r="WG99" s="50"/>
      <c r="WH99" s="50"/>
      <c r="WI99" s="50"/>
      <c r="WJ99" s="50"/>
      <c r="WK99" s="50"/>
      <c r="WL99" s="50"/>
      <c r="WM99" s="50"/>
      <c r="WN99" s="50"/>
      <c r="WO99" s="50"/>
      <c r="WP99" s="50"/>
      <c r="WQ99" s="50"/>
      <c r="WR99" s="50"/>
      <c r="WS99" s="50"/>
      <c r="WT99" s="50"/>
      <c r="WU99" s="50"/>
      <c r="WV99" s="50"/>
      <c r="WW99" s="50"/>
      <c r="WX99" s="50"/>
      <c r="WY99" s="50"/>
      <c r="WZ99" s="50"/>
      <c r="XA99" s="50"/>
      <c r="XB99" s="50"/>
      <c r="XC99" s="50"/>
      <c r="XD99" s="50"/>
      <c r="XE99" s="50"/>
      <c r="XF99" s="50"/>
      <c r="XG99" s="50"/>
      <c r="XH99" s="50"/>
      <c r="XI99" s="50"/>
      <c r="XJ99" s="50"/>
      <c r="XK99" s="50"/>
      <c r="XL99" s="50"/>
      <c r="XM99" s="50"/>
      <c r="XN99" s="50"/>
      <c r="XO99" s="50"/>
      <c r="XP99" s="50"/>
      <c r="XQ99" s="50"/>
      <c r="XR99" s="50"/>
      <c r="XS99" s="50"/>
      <c r="XT99" s="50"/>
      <c r="XU99" s="50"/>
      <c r="XV99" s="50"/>
      <c r="XW99" s="50"/>
      <c r="XX99" s="50"/>
      <c r="XY99" s="50"/>
      <c r="XZ99" s="50"/>
      <c r="YA99" s="50"/>
      <c r="YB99" s="50"/>
      <c r="YC99" s="50"/>
      <c r="YD99" s="50"/>
      <c r="YE99" s="50"/>
      <c r="YF99" s="50"/>
      <c r="YG99" s="50"/>
      <c r="YH99" s="50"/>
      <c r="YI99" s="50"/>
      <c r="YJ99" s="50"/>
      <c r="YK99" s="50"/>
      <c r="YL99" s="50"/>
      <c r="YM99" s="50"/>
      <c r="YN99" s="50"/>
      <c r="YO99" s="50"/>
      <c r="YP99" s="50"/>
      <c r="YQ99" s="50"/>
      <c r="YR99" s="50"/>
      <c r="YS99" s="50"/>
      <c r="YT99" s="50"/>
      <c r="YU99" s="50"/>
      <c r="YV99" s="50"/>
      <c r="YW99" s="50"/>
      <c r="YX99" s="50"/>
      <c r="YY99" s="50"/>
      <c r="YZ99" s="50"/>
      <c r="ZA99" s="50"/>
      <c r="ZB99" s="50"/>
      <c r="ZC99" s="50"/>
      <c r="ZD99" s="50"/>
      <c r="ZE99" s="50"/>
      <c r="ZF99" s="50"/>
      <c r="ZG99" s="50"/>
      <c r="ZH99" s="50"/>
      <c r="ZI99" s="50"/>
      <c r="ZJ99" s="50"/>
      <c r="ZK99" s="50"/>
      <c r="ZL99" s="50"/>
      <c r="ZM99" s="50"/>
      <c r="ZN99" s="50"/>
      <c r="ZO99" s="50"/>
      <c r="ZP99" s="50"/>
      <c r="ZQ99" s="50"/>
      <c r="ZR99" s="50"/>
      <c r="ZS99" s="50"/>
      <c r="ZT99" s="50"/>
      <c r="ZU99" s="50"/>
      <c r="ZV99" s="50"/>
      <c r="ZW99" s="50"/>
      <c r="ZX99" s="50"/>
      <c r="ZY99" s="50"/>
      <c r="ZZ99" s="50"/>
      <c r="AAA99" s="50"/>
      <c r="AAB99" s="50"/>
      <c r="AAC99" s="50"/>
      <c r="AAD99" s="50"/>
      <c r="AAE99" s="50"/>
      <c r="AAF99" s="50"/>
      <c r="AAG99" s="50"/>
      <c r="AAH99" s="50"/>
      <c r="AAI99" s="50"/>
      <c r="AAJ99" s="50"/>
      <c r="AAK99" s="50"/>
      <c r="AAL99" s="50"/>
      <c r="AAM99" s="50"/>
      <c r="AAN99" s="50"/>
      <c r="AAO99" s="50"/>
      <c r="AAP99" s="50"/>
      <c r="AAQ99" s="50"/>
      <c r="AAR99" s="50"/>
      <c r="AAS99" s="50"/>
      <c r="AAT99" s="50"/>
      <c r="AAU99" s="50"/>
      <c r="AAV99" s="50"/>
      <c r="AAW99" s="50"/>
      <c r="AAX99" s="50"/>
      <c r="AAY99" s="50"/>
      <c r="AAZ99" s="50"/>
      <c r="ABA99" s="50"/>
      <c r="ABB99" s="50"/>
      <c r="ABC99" s="50"/>
      <c r="ABD99" s="50"/>
      <c r="ABE99" s="50"/>
      <c r="ABF99" s="50"/>
      <c r="ABG99" s="50"/>
      <c r="ABH99" s="50"/>
      <c r="ABI99" s="50"/>
      <c r="ABJ99" s="50"/>
      <c r="ABK99" s="50"/>
      <c r="ABL99" s="50"/>
      <c r="ABM99" s="50"/>
      <c r="ABN99" s="50"/>
      <c r="ABO99" s="50"/>
      <c r="ABP99" s="50"/>
      <c r="ABQ99" s="50"/>
      <c r="ABR99" s="50"/>
      <c r="ABS99" s="50"/>
      <c r="ABT99" s="50"/>
      <c r="ABU99" s="50"/>
      <c r="ABV99" s="50"/>
      <c r="ABW99" s="50"/>
      <c r="ABX99" s="50"/>
      <c r="ABY99" s="50"/>
      <c r="ABZ99" s="50"/>
      <c r="ACA99" s="50"/>
      <c r="ACB99" s="50"/>
      <c r="ACC99" s="50"/>
      <c r="ACD99" s="50"/>
      <c r="ACE99" s="50"/>
      <c r="ACF99" s="50"/>
      <c r="ACG99" s="50"/>
      <c r="ACH99" s="50"/>
      <c r="ACI99" s="50"/>
      <c r="ACJ99" s="50"/>
      <c r="ACK99" s="50"/>
      <c r="ACL99" s="50"/>
      <c r="ACM99" s="50"/>
      <c r="ACN99" s="50"/>
      <c r="ACO99" s="50"/>
      <c r="ACP99" s="50"/>
      <c r="ACQ99" s="50"/>
      <c r="ACR99" s="50"/>
      <c r="ACS99" s="50"/>
      <c r="ACT99" s="50"/>
      <c r="ACU99" s="50"/>
      <c r="ACV99" s="50"/>
      <c r="ACW99" s="50"/>
      <c r="ACX99" s="50"/>
      <c r="ACY99" s="50"/>
      <c r="ACZ99" s="50"/>
      <c r="ADA99" s="50"/>
      <c r="ADB99" s="50"/>
      <c r="ADC99" s="50"/>
      <c r="ADD99" s="50"/>
      <c r="ADE99" s="50"/>
      <c r="ADF99" s="50"/>
      <c r="ADG99" s="50"/>
      <c r="ADH99" s="50"/>
      <c r="ADI99" s="50"/>
      <c r="ADJ99" s="50"/>
      <c r="ADK99" s="50"/>
      <c r="ADL99" s="50"/>
      <c r="ADM99" s="50"/>
      <c r="ADN99" s="50"/>
      <c r="ADO99" s="50"/>
      <c r="ADP99" s="50"/>
      <c r="ADQ99" s="50"/>
      <c r="ADR99" s="50"/>
      <c r="ADS99" s="50"/>
      <c r="ADT99" s="50"/>
      <c r="ADU99" s="50"/>
      <c r="ADV99" s="50"/>
      <c r="ADW99" s="50"/>
      <c r="ADX99" s="50"/>
      <c r="ADY99" s="50"/>
      <c r="ADZ99" s="50"/>
      <c r="AEA99" s="50"/>
      <c r="AEB99" s="50"/>
      <c r="AEC99" s="50"/>
      <c r="AED99" s="50"/>
      <c r="AEE99" s="50"/>
      <c r="AEF99" s="50"/>
      <c r="AEG99" s="50"/>
      <c r="AEH99" s="50"/>
      <c r="AEI99" s="50"/>
      <c r="AEJ99" s="50"/>
      <c r="AEK99" s="50"/>
      <c r="AEL99" s="50"/>
      <c r="AEM99" s="50"/>
      <c r="AEN99" s="50"/>
      <c r="AEO99" s="50"/>
      <c r="AEP99" s="50"/>
      <c r="AEQ99" s="50"/>
      <c r="AER99" s="50"/>
      <c r="AES99" s="50"/>
      <c r="AET99" s="50"/>
      <c r="AEU99" s="50"/>
      <c r="AEV99" s="50"/>
      <c r="AEW99" s="50"/>
      <c r="AEX99" s="50"/>
      <c r="AEY99" s="50"/>
      <c r="AEZ99" s="50"/>
      <c r="AFA99" s="50"/>
      <c r="AFB99" s="50"/>
      <c r="AFC99" s="50"/>
      <c r="AFD99" s="50"/>
      <c r="AFE99" s="50"/>
      <c r="AFF99" s="50"/>
      <c r="AFG99" s="50"/>
      <c r="AFH99" s="50"/>
      <c r="AFI99" s="50"/>
      <c r="AFJ99" s="50"/>
      <c r="AFK99" s="50"/>
      <c r="AFL99" s="50"/>
      <c r="AFM99" s="50"/>
      <c r="AFN99" s="50"/>
      <c r="AFO99" s="50"/>
      <c r="AFP99" s="50"/>
      <c r="AFQ99" s="50"/>
      <c r="AFR99" s="50"/>
      <c r="AFS99" s="50"/>
      <c r="AFT99" s="50"/>
      <c r="AFU99" s="50"/>
      <c r="AFV99" s="50"/>
      <c r="AFW99" s="50"/>
      <c r="AFX99" s="50"/>
      <c r="AFY99" s="50"/>
      <c r="AFZ99" s="50"/>
      <c r="AGA99" s="50"/>
      <c r="AGB99" s="50"/>
      <c r="AGC99" s="50"/>
      <c r="AGD99" s="50"/>
      <c r="AGE99" s="50"/>
      <c r="AGF99" s="50"/>
      <c r="AGG99" s="50"/>
      <c r="AGH99" s="50"/>
      <c r="AGI99" s="50"/>
      <c r="AGJ99" s="50"/>
      <c r="AGK99" s="50"/>
      <c r="AGL99" s="50"/>
      <c r="AGM99" s="50"/>
      <c r="AGN99" s="50"/>
      <c r="AGO99" s="50"/>
      <c r="AGP99" s="50"/>
      <c r="AGQ99" s="50"/>
      <c r="AGR99" s="50"/>
      <c r="AGS99" s="50"/>
      <c r="AGT99" s="50"/>
      <c r="AGU99" s="50"/>
      <c r="AGV99" s="50"/>
      <c r="AGW99" s="50"/>
      <c r="AGX99" s="50"/>
      <c r="AGY99" s="50"/>
      <c r="AGZ99" s="50"/>
      <c r="AHA99" s="50"/>
      <c r="AHB99" s="50"/>
      <c r="AHC99" s="50"/>
      <c r="AHD99" s="50"/>
      <c r="AHE99" s="50"/>
      <c r="AHF99" s="50"/>
      <c r="AHG99" s="50"/>
      <c r="AHH99" s="50"/>
      <c r="AHI99" s="50"/>
      <c r="AHJ99" s="50"/>
      <c r="AHK99" s="50"/>
      <c r="AHL99" s="50"/>
      <c r="AHM99" s="50"/>
      <c r="AHN99" s="50"/>
      <c r="AHO99" s="50"/>
      <c r="AHP99" s="50"/>
      <c r="AHQ99" s="50"/>
      <c r="AHR99" s="50"/>
      <c r="AHS99" s="50"/>
      <c r="AHT99" s="50"/>
      <c r="AHU99" s="50"/>
      <c r="AHV99" s="50"/>
      <c r="AHW99" s="50"/>
      <c r="AHX99" s="50"/>
      <c r="AHY99" s="50"/>
      <c r="AHZ99" s="50"/>
      <c r="AIA99" s="50"/>
      <c r="AIB99" s="50"/>
      <c r="AIC99" s="50"/>
      <c r="AID99" s="50"/>
      <c r="AIE99" s="50"/>
      <c r="AIF99" s="50"/>
      <c r="AIG99" s="50"/>
      <c r="AIH99" s="50"/>
      <c r="AII99" s="50"/>
      <c r="AIJ99" s="50"/>
      <c r="AIK99" s="50"/>
      <c r="AIL99" s="50"/>
      <c r="AIM99" s="50"/>
      <c r="AIN99" s="50"/>
      <c r="AIO99" s="50"/>
      <c r="AIP99" s="50"/>
      <c r="AIQ99" s="50"/>
      <c r="AIR99" s="50"/>
      <c r="AIS99" s="50"/>
      <c r="AIT99" s="50"/>
      <c r="AIU99" s="50"/>
      <c r="AIV99" s="50"/>
      <c r="AIW99" s="50"/>
      <c r="AIX99" s="50"/>
      <c r="AIY99" s="50"/>
      <c r="AIZ99" s="50"/>
      <c r="AJA99" s="50"/>
      <c r="AJB99" s="50"/>
      <c r="AJC99" s="50"/>
      <c r="AJD99" s="50"/>
      <c r="AJE99" s="50"/>
      <c r="AJF99" s="50"/>
      <c r="AJG99" s="50"/>
      <c r="AJH99" s="50"/>
      <c r="AJI99" s="50"/>
      <c r="AJJ99" s="50"/>
      <c r="AJK99" s="50"/>
      <c r="AJL99" s="50"/>
      <c r="AJM99" s="50"/>
      <c r="AJN99" s="50"/>
      <c r="AJO99" s="50"/>
      <c r="AJP99" s="50"/>
      <c r="AJQ99" s="50"/>
      <c r="AJR99" s="50"/>
      <c r="AJS99" s="50"/>
      <c r="AJT99" s="50"/>
      <c r="AJU99" s="50"/>
      <c r="AJV99" s="50"/>
      <c r="AJW99" s="50"/>
      <c r="AJX99" s="50"/>
      <c r="AJY99" s="50"/>
      <c r="AJZ99" s="50"/>
      <c r="AKA99" s="50"/>
      <c r="AKB99" s="50"/>
      <c r="AKC99" s="50"/>
      <c r="AKD99" s="50"/>
      <c r="AKE99" s="50"/>
      <c r="AKF99" s="50"/>
      <c r="AKG99" s="50"/>
      <c r="AKH99" s="50"/>
      <c r="AKI99" s="50"/>
      <c r="AKJ99" s="50"/>
      <c r="AKK99" s="50"/>
      <c r="AKL99" s="50"/>
      <c r="AKM99" s="50"/>
      <c r="AKN99" s="50"/>
      <c r="AKO99" s="50"/>
      <c r="AKP99" s="50"/>
      <c r="AKQ99" s="50"/>
      <c r="AKR99" s="50"/>
      <c r="AKS99" s="50"/>
      <c r="AKT99" s="50"/>
      <c r="AKU99" s="50"/>
      <c r="AKV99" s="50"/>
      <c r="AKW99" s="50"/>
      <c r="AKX99" s="50"/>
      <c r="AKY99" s="50"/>
      <c r="AKZ99" s="50"/>
      <c r="ALA99" s="50"/>
      <c r="ALB99" s="50"/>
      <c r="ALC99" s="50"/>
      <c r="ALD99" s="50"/>
      <c r="ALE99" s="50"/>
      <c r="ALF99" s="50"/>
      <c r="ALG99" s="50"/>
      <c r="ALH99" s="50"/>
      <c r="ALI99" s="50"/>
      <c r="ALJ99" s="50"/>
      <c r="ALK99" s="50"/>
      <c r="ALL99" s="50"/>
      <c r="ALM99" s="50"/>
      <c r="ALN99" s="50"/>
      <c r="ALO99" s="50"/>
      <c r="ALP99" s="50"/>
      <c r="ALQ99" s="50"/>
      <c r="ALR99" s="50"/>
      <c r="ALS99" s="50"/>
      <c r="ALT99" s="50"/>
      <c r="ALU99" s="50"/>
      <c r="ALV99" s="50"/>
      <c r="ALW99" s="50"/>
      <c r="ALX99" s="50"/>
      <c r="ALY99" s="50"/>
      <c r="ALZ99" s="50"/>
      <c r="AMA99" s="50"/>
      <c r="AMB99" s="50"/>
      <c r="AMC99" s="50"/>
      <c r="AMD99" s="50"/>
      <c r="AME99" s="50"/>
      <c r="AMF99" s="50"/>
      <c r="AMG99" s="50"/>
      <c r="AMH99" s="50"/>
      <c r="AMI99" s="50"/>
      <c r="AMK99" s="50"/>
    </row>
    <row r="100" spans="1:1025" s="51" customFormat="1" x14ac:dyDescent="0.15">
      <c r="A100" s="47" t="s">
        <v>209</v>
      </c>
      <c r="B100" s="83"/>
      <c r="C100" s="47">
        <f t="shared" si="5"/>
        <v>18</v>
      </c>
      <c r="D100" s="47"/>
      <c r="E100" s="47"/>
      <c r="F100" s="47">
        <v>22</v>
      </c>
      <c r="G100" s="47" t="s">
        <v>147</v>
      </c>
      <c r="H100" s="47"/>
      <c r="I100" s="48"/>
      <c r="J100" s="49"/>
      <c r="K100" s="84"/>
      <c r="L100" s="85"/>
      <c r="M100" s="47"/>
      <c r="N100" s="47" t="s">
        <v>171</v>
      </c>
      <c r="O100" s="47" t="s">
        <v>22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50"/>
      <c r="BQ100" s="50"/>
      <c r="BR100" s="50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  <c r="DD100" s="50"/>
      <c r="DE100" s="50"/>
      <c r="DF100" s="50"/>
      <c r="DG100" s="50"/>
      <c r="DH100" s="50"/>
      <c r="DI100" s="50"/>
      <c r="DJ100" s="50"/>
      <c r="DK100" s="50"/>
      <c r="DL100" s="50"/>
      <c r="DM100" s="50"/>
      <c r="DN100" s="50"/>
      <c r="DO100" s="50"/>
      <c r="DP100" s="50"/>
      <c r="DQ100" s="50"/>
      <c r="DR100" s="50"/>
      <c r="DS100" s="50"/>
      <c r="DT100" s="50"/>
      <c r="DU100" s="50"/>
      <c r="DV100" s="50"/>
      <c r="DW100" s="50"/>
      <c r="DX100" s="50"/>
      <c r="DY100" s="50"/>
      <c r="DZ100" s="50"/>
      <c r="EA100" s="50"/>
      <c r="EB100" s="50"/>
      <c r="EC100" s="50"/>
      <c r="ED100" s="50"/>
      <c r="EE100" s="50"/>
      <c r="EF100" s="50"/>
      <c r="EG100" s="50"/>
      <c r="EH100" s="50"/>
      <c r="EI100" s="50"/>
      <c r="EJ100" s="50"/>
      <c r="EK100" s="50"/>
      <c r="EL100" s="50"/>
      <c r="EM100" s="50"/>
      <c r="EN100" s="50"/>
      <c r="EO100" s="50"/>
      <c r="EP100" s="50"/>
      <c r="EQ100" s="50"/>
      <c r="ER100" s="50"/>
      <c r="ES100" s="50"/>
      <c r="ET100" s="50"/>
      <c r="EU100" s="50"/>
      <c r="EV100" s="50"/>
      <c r="EW100" s="50"/>
      <c r="EX100" s="50"/>
      <c r="EY100" s="50"/>
      <c r="EZ100" s="50"/>
      <c r="FA100" s="50"/>
      <c r="FB100" s="50"/>
      <c r="FC100" s="50"/>
      <c r="FD100" s="50"/>
      <c r="FE100" s="50"/>
      <c r="FF100" s="50"/>
      <c r="FG100" s="50"/>
      <c r="FH100" s="50"/>
      <c r="FI100" s="50"/>
      <c r="FJ100" s="50"/>
      <c r="FK100" s="50"/>
      <c r="FL100" s="50"/>
      <c r="FM100" s="50"/>
      <c r="FN100" s="50"/>
      <c r="FO100" s="50"/>
      <c r="FP100" s="50"/>
      <c r="FQ100" s="50"/>
      <c r="FR100" s="50"/>
      <c r="FS100" s="50"/>
      <c r="FT100" s="50"/>
      <c r="FU100" s="50"/>
      <c r="FV100" s="50"/>
      <c r="FW100" s="50"/>
      <c r="FX100" s="50"/>
      <c r="FY100" s="50"/>
      <c r="FZ100" s="50"/>
      <c r="GA100" s="50"/>
      <c r="GB100" s="50"/>
      <c r="GC100" s="50"/>
      <c r="GD100" s="50"/>
      <c r="GE100" s="50"/>
      <c r="GF100" s="50"/>
      <c r="GG100" s="50"/>
      <c r="GH100" s="50"/>
      <c r="GI100" s="50"/>
      <c r="GJ100" s="50"/>
      <c r="GK100" s="50"/>
      <c r="GL100" s="50"/>
      <c r="GM100" s="50"/>
      <c r="GN100" s="50"/>
      <c r="GO100" s="50"/>
      <c r="GP100" s="50"/>
      <c r="GQ100" s="50"/>
      <c r="GR100" s="50"/>
      <c r="GS100" s="50"/>
      <c r="GT100" s="50"/>
      <c r="GU100" s="50"/>
      <c r="GV100" s="50"/>
      <c r="GW100" s="50"/>
      <c r="GX100" s="50"/>
      <c r="GY100" s="50"/>
      <c r="GZ100" s="50"/>
      <c r="HA100" s="50"/>
      <c r="HB100" s="50"/>
      <c r="HC100" s="50"/>
      <c r="HD100" s="50"/>
      <c r="HE100" s="50"/>
      <c r="HF100" s="50"/>
      <c r="HG100" s="50"/>
      <c r="HH100" s="50"/>
      <c r="HI100" s="50"/>
      <c r="HJ100" s="50"/>
      <c r="HK100" s="50"/>
      <c r="HL100" s="50"/>
      <c r="HM100" s="50"/>
      <c r="HN100" s="50"/>
      <c r="HO100" s="50"/>
      <c r="HP100" s="50"/>
      <c r="HQ100" s="50"/>
      <c r="HR100" s="50"/>
      <c r="HS100" s="50"/>
      <c r="HT100" s="50"/>
      <c r="HU100" s="50"/>
      <c r="HV100" s="50"/>
      <c r="HW100" s="50"/>
      <c r="HX100" s="50"/>
      <c r="HY100" s="50"/>
      <c r="HZ100" s="50"/>
      <c r="IA100" s="50"/>
      <c r="IB100" s="50"/>
      <c r="IC100" s="50"/>
      <c r="ID100" s="50"/>
      <c r="IE100" s="50"/>
      <c r="IF100" s="50"/>
      <c r="IG100" s="50"/>
      <c r="IH100" s="50"/>
      <c r="II100" s="50"/>
      <c r="IJ100" s="50"/>
      <c r="IK100" s="50"/>
      <c r="IL100" s="50"/>
      <c r="IM100" s="50"/>
      <c r="IN100" s="50"/>
      <c r="IO100" s="50"/>
      <c r="IP100" s="50"/>
      <c r="IQ100" s="50"/>
      <c r="IR100" s="50"/>
      <c r="IS100" s="50"/>
      <c r="IT100" s="50"/>
      <c r="IU100" s="50"/>
      <c r="IV100" s="50"/>
      <c r="IW100" s="50"/>
      <c r="IX100" s="50"/>
      <c r="IY100" s="50"/>
      <c r="IZ100" s="50"/>
      <c r="JA100" s="50"/>
      <c r="JB100" s="50"/>
      <c r="JC100" s="50"/>
      <c r="JD100" s="50"/>
      <c r="JE100" s="50"/>
      <c r="JF100" s="50"/>
      <c r="JG100" s="50"/>
      <c r="JH100" s="50"/>
      <c r="JI100" s="50"/>
      <c r="JJ100" s="50"/>
      <c r="JK100" s="50"/>
      <c r="JL100" s="50"/>
      <c r="JM100" s="50"/>
      <c r="JN100" s="50"/>
      <c r="JO100" s="50"/>
      <c r="JP100" s="50"/>
      <c r="JQ100" s="50"/>
      <c r="JR100" s="50"/>
      <c r="JS100" s="50"/>
      <c r="JT100" s="50"/>
      <c r="JU100" s="50"/>
      <c r="JV100" s="50"/>
      <c r="JW100" s="50"/>
      <c r="JX100" s="50"/>
      <c r="JY100" s="50"/>
      <c r="JZ100" s="50"/>
      <c r="KA100" s="50"/>
      <c r="KB100" s="50"/>
      <c r="KC100" s="50"/>
      <c r="KD100" s="50"/>
      <c r="KE100" s="50"/>
      <c r="KF100" s="50"/>
      <c r="KG100" s="50"/>
      <c r="KH100" s="50"/>
      <c r="KI100" s="50"/>
      <c r="KJ100" s="50"/>
      <c r="KK100" s="50"/>
      <c r="KL100" s="50"/>
      <c r="KM100" s="50"/>
      <c r="KN100" s="50"/>
      <c r="KO100" s="50"/>
      <c r="KP100" s="50"/>
      <c r="KQ100" s="50"/>
      <c r="KR100" s="50"/>
      <c r="KS100" s="50"/>
      <c r="KT100" s="50"/>
      <c r="KU100" s="50"/>
      <c r="KV100" s="50"/>
      <c r="KW100" s="50"/>
      <c r="KX100" s="50"/>
      <c r="KY100" s="50"/>
      <c r="KZ100" s="50"/>
      <c r="LA100" s="50"/>
      <c r="LB100" s="50"/>
      <c r="LC100" s="50"/>
      <c r="LD100" s="50"/>
      <c r="LE100" s="50"/>
      <c r="LF100" s="50"/>
      <c r="LG100" s="50"/>
      <c r="LH100" s="50"/>
      <c r="LI100" s="50"/>
      <c r="LJ100" s="50"/>
      <c r="LK100" s="50"/>
      <c r="LL100" s="50"/>
      <c r="LM100" s="50"/>
      <c r="LN100" s="50"/>
      <c r="LO100" s="50"/>
      <c r="LP100" s="50"/>
      <c r="LQ100" s="50"/>
      <c r="LR100" s="50"/>
      <c r="LS100" s="50"/>
      <c r="LT100" s="50"/>
      <c r="LU100" s="50"/>
      <c r="LV100" s="50"/>
      <c r="LW100" s="50"/>
      <c r="LX100" s="50"/>
      <c r="LY100" s="50"/>
      <c r="LZ100" s="50"/>
      <c r="MA100" s="50"/>
      <c r="MB100" s="50"/>
      <c r="MC100" s="50"/>
      <c r="MD100" s="50"/>
      <c r="ME100" s="50"/>
      <c r="MF100" s="50"/>
      <c r="MG100" s="50"/>
      <c r="MH100" s="50"/>
      <c r="MI100" s="50"/>
      <c r="MJ100" s="50"/>
      <c r="MK100" s="50"/>
      <c r="ML100" s="50"/>
      <c r="MM100" s="50"/>
      <c r="MN100" s="50"/>
      <c r="MO100" s="50"/>
      <c r="MP100" s="50"/>
      <c r="MQ100" s="50"/>
      <c r="MR100" s="50"/>
      <c r="MS100" s="50"/>
      <c r="MT100" s="50"/>
      <c r="MU100" s="50"/>
      <c r="MV100" s="50"/>
      <c r="MW100" s="50"/>
      <c r="MX100" s="50"/>
      <c r="MY100" s="50"/>
      <c r="MZ100" s="50"/>
      <c r="NA100" s="50"/>
      <c r="NB100" s="50"/>
      <c r="NC100" s="50"/>
      <c r="ND100" s="50"/>
      <c r="NE100" s="50"/>
      <c r="NF100" s="50"/>
      <c r="NG100" s="50"/>
      <c r="NH100" s="50"/>
      <c r="NI100" s="50"/>
      <c r="NJ100" s="50"/>
      <c r="NK100" s="50"/>
      <c r="NL100" s="50"/>
      <c r="NM100" s="50"/>
      <c r="NN100" s="50"/>
      <c r="NO100" s="50"/>
      <c r="NP100" s="50"/>
      <c r="NQ100" s="50"/>
      <c r="NR100" s="50"/>
      <c r="NS100" s="50"/>
      <c r="NT100" s="50"/>
      <c r="NU100" s="50"/>
      <c r="NV100" s="50"/>
      <c r="NW100" s="50"/>
      <c r="NX100" s="50"/>
      <c r="NY100" s="50"/>
      <c r="NZ100" s="50"/>
      <c r="OA100" s="50"/>
      <c r="OB100" s="50"/>
      <c r="OC100" s="50"/>
      <c r="OD100" s="50"/>
      <c r="OE100" s="50"/>
      <c r="OF100" s="50"/>
      <c r="OG100" s="50"/>
      <c r="OH100" s="50"/>
      <c r="OI100" s="50"/>
      <c r="OJ100" s="50"/>
      <c r="OK100" s="50"/>
      <c r="OL100" s="50"/>
      <c r="OM100" s="50"/>
      <c r="ON100" s="50"/>
      <c r="OO100" s="50"/>
      <c r="OP100" s="50"/>
      <c r="OQ100" s="50"/>
      <c r="OR100" s="50"/>
      <c r="OS100" s="50"/>
      <c r="OT100" s="50"/>
      <c r="OU100" s="50"/>
      <c r="OV100" s="50"/>
      <c r="OW100" s="50"/>
      <c r="OX100" s="50"/>
      <c r="OY100" s="50"/>
      <c r="OZ100" s="50"/>
      <c r="PA100" s="50"/>
      <c r="PB100" s="50"/>
      <c r="PC100" s="50"/>
      <c r="PD100" s="50"/>
      <c r="PE100" s="50"/>
      <c r="PF100" s="50"/>
      <c r="PG100" s="50"/>
      <c r="PH100" s="50"/>
      <c r="PI100" s="50"/>
      <c r="PJ100" s="50"/>
      <c r="PK100" s="50"/>
      <c r="PL100" s="50"/>
      <c r="PM100" s="50"/>
      <c r="PN100" s="50"/>
      <c r="PO100" s="50"/>
      <c r="PP100" s="50"/>
      <c r="PQ100" s="50"/>
      <c r="PR100" s="50"/>
      <c r="PS100" s="50"/>
      <c r="PT100" s="50"/>
      <c r="PU100" s="50"/>
      <c r="PV100" s="50"/>
      <c r="PW100" s="50"/>
      <c r="PX100" s="50"/>
      <c r="PY100" s="50"/>
      <c r="PZ100" s="50"/>
      <c r="QA100" s="50"/>
      <c r="QB100" s="50"/>
      <c r="QC100" s="50"/>
      <c r="QD100" s="50"/>
      <c r="QE100" s="50"/>
      <c r="QF100" s="50"/>
      <c r="QG100" s="50"/>
      <c r="QH100" s="50"/>
      <c r="QI100" s="50"/>
      <c r="QJ100" s="50"/>
      <c r="QK100" s="50"/>
      <c r="QL100" s="50"/>
      <c r="QM100" s="50"/>
      <c r="QN100" s="50"/>
      <c r="QO100" s="50"/>
      <c r="QP100" s="50"/>
      <c r="QQ100" s="50"/>
      <c r="QR100" s="50"/>
      <c r="QS100" s="50"/>
      <c r="QT100" s="50"/>
      <c r="QU100" s="50"/>
      <c r="QV100" s="50"/>
      <c r="QW100" s="50"/>
      <c r="QX100" s="50"/>
      <c r="QY100" s="50"/>
      <c r="QZ100" s="50"/>
      <c r="RA100" s="50"/>
      <c r="RB100" s="50"/>
      <c r="RC100" s="50"/>
      <c r="RD100" s="50"/>
      <c r="RE100" s="50"/>
      <c r="RF100" s="50"/>
      <c r="RG100" s="50"/>
      <c r="RH100" s="50"/>
      <c r="RI100" s="50"/>
      <c r="RJ100" s="50"/>
      <c r="RK100" s="50"/>
      <c r="RL100" s="50"/>
      <c r="RM100" s="50"/>
      <c r="RN100" s="50"/>
      <c r="RO100" s="50"/>
      <c r="RP100" s="50"/>
      <c r="RQ100" s="50"/>
      <c r="RR100" s="50"/>
      <c r="RS100" s="50"/>
      <c r="RT100" s="50"/>
      <c r="RU100" s="50"/>
      <c r="RV100" s="50"/>
      <c r="RW100" s="50"/>
      <c r="RX100" s="50"/>
      <c r="RY100" s="50"/>
      <c r="RZ100" s="50"/>
      <c r="SA100" s="50"/>
      <c r="SB100" s="50"/>
      <c r="SC100" s="50"/>
      <c r="SD100" s="50"/>
      <c r="SE100" s="50"/>
      <c r="SF100" s="50"/>
      <c r="SG100" s="50"/>
      <c r="SH100" s="50"/>
      <c r="SI100" s="50"/>
      <c r="SJ100" s="50"/>
      <c r="SK100" s="50"/>
      <c r="SL100" s="50"/>
      <c r="SM100" s="50"/>
      <c r="SN100" s="50"/>
      <c r="SO100" s="50"/>
      <c r="SP100" s="50"/>
      <c r="SQ100" s="50"/>
      <c r="SR100" s="50"/>
      <c r="SS100" s="50"/>
      <c r="ST100" s="50"/>
      <c r="SU100" s="50"/>
      <c r="SV100" s="50"/>
      <c r="SW100" s="50"/>
      <c r="SX100" s="50"/>
      <c r="SY100" s="50"/>
      <c r="SZ100" s="50"/>
      <c r="TA100" s="50"/>
      <c r="TB100" s="50"/>
      <c r="TC100" s="50"/>
      <c r="TD100" s="50"/>
      <c r="TE100" s="50"/>
      <c r="TF100" s="50"/>
      <c r="TG100" s="50"/>
      <c r="TH100" s="50"/>
      <c r="TI100" s="50"/>
      <c r="TJ100" s="50"/>
      <c r="TK100" s="50"/>
      <c r="TL100" s="50"/>
      <c r="TM100" s="50"/>
      <c r="TN100" s="50"/>
      <c r="TO100" s="50"/>
      <c r="TP100" s="50"/>
      <c r="TQ100" s="50"/>
      <c r="TR100" s="50"/>
      <c r="TS100" s="50"/>
      <c r="TT100" s="50"/>
      <c r="TU100" s="50"/>
      <c r="TV100" s="50"/>
      <c r="TW100" s="50"/>
      <c r="TX100" s="50"/>
      <c r="TY100" s="50"/>
      <c r="TZ100" s="50"/>
      <c r="UA100" s="50"/>
      <c r="UB100" s="50"/>
      <c r="UC100" s="50"/>
      <c r="UD100" s="50"/>
      <c r="UE100" s="50"/>
      <c r="UF100" s="50"/>
      <c r="UG100" s="50"/>
      <c r="UH100" s="50"/>
      <c r="UI100" s="50"/>
      <c r="UJ100" s="50"/>
      <c r="UK100" s="50"/>
      <c r="UL100" s="50"/>
      <c r="UM100" s="50"/>
      <c r="UN100" s="50"/>
      <c r="UO100" s="50"/>
      <c r="UP100" s="50"/>
      <c r="UQ100" s="50"/>
      <c r="UR100" s="50"/>
      <c r="US100" s="50"/>
      <c r="UT100" s="50"/>
      <c r="UU100" s="50"/>
      <c r="UV100" s="50"/>
      <c r="UW100" s="50"/>
      <c r="UX100" s="50"/>
      <c r="UY100" s="50"/>
      <c r="UZ100" s="50"/>
      <c r="VA100" s="50"/>
      <c r="VB100" s="50"/>
      <c r="VC100" s="50"/>
      <c r="VD100" s="50"/>
      <c r="VE100" s="50"/>
      <c r="VF100" s="50"/>
      <c r="VG100" s="50"/>
      <c r="VH100" s="50"/>
      <c r="VI100" s="50"/>
      <c r="VJ100" s="50"/>
      <c r="VK100" s="50"/>
      <c r="VL100" s="50"/>
      <c r="VM100" s="50"/>
      <c r="VN100" s="50"/>
      <c r="VO100" s="50"/>
      <c r="VP100" s="50"/>
      <c r="VQ100" s="50"/>
      <c r="VR100" s="50"/>
      <c r="VS100" s="50"/>
      <c r="VT100" s="50"/>
      <c r="VU100" s="50"/>
      <c r="VV100" s="50"/>
      <c r="VW100" s="50"/>
      <c r="VX100" s="50"/>
      <c r="VY100" s="50"/>
      <c r="VZ100" s="50"/>
      <c r="WA100" s="50"/>
      <c r="WB100" s="50"/>
      <c r="WC100" s="50"/>
      <c r="WD100" s="50"/>
      <c r="WE100" s="50"/>
      <c r="WF100" s="50"/>
      <c r="WG100" s="50"/>
      <c r="WH100" s="50"/>
      <c r="WI100" s="50"/>
      <c r="WJ100" s="50"/>
      <c r="WK100" s="50"/>
      <c r="WL100" s="50"/>
      <c r="WM100" s="50"/>
      <c r="WN100" s="50"/>
      <c r="WO100" s="50"/>
      <c r="WP100" s="50"/>
      <c r="WQ100" s="50"/>
      <c r="WR100" s="50"/>
      <c r="WS100" s="50"/>
      <c r="WT100" s="50"/>
      <c r="WU100" s="50"/>
      <c r="WV100" s="50"/>
      <c r="WW100" s="50"/>
      <c r="WX100" s="50"/>
      <c r="WY100" s="50"/>
      <c r="WZ100" s="50"/>
      <c r="XA100" s="50"/>
      <c r="XB100" s="50"/>
      <c r="XC100" s="50"/>
      <c r="XD100" s="50"/>
      <c r="XE100" s="50"/>
      <c r="XF100" s="50"/>
      <c r="XG100" s="50"/>
      <c r="XH100" s="50"/>
      <c r="XI100" s="50"/>
      <c r="XJ100" s="50"/>
      <c r="XK100" s="50"/>
      <c r="XL100" s="50"/>
      <c r="XM100" s="50"/>
      <c r="XN100" s="50"/>
      <c r="XO100" s="50"/>
      <c r="XP100" s="50"/>
      <c r="XQ100" s="50"/>
      <c r="XR100" s="50"/>
      <c r="XS100" s="50"/>
      <c r="XT100" s="50"/>
      <c r="XU100" s="50"/>
      <c r="XV100" s="50"/>
      <c r="XW100" s="50"/>
      <c r="XX100" s="50"/>
      <c r="XY100" s="50"/>
      <c r="XZ100" s="50"/>
      <c r="YA100" s="50"/>
      <c r="YB100" s="50"/>
      <c r="YC100" s="50"/>
      <c r="YD100" s="50"/>
      <c r="YE100" s="50"/>
      <c r="YF100" s="50"/>
      <c r="YG100" s="50"/>
      <c r="YH100" s="50"/>
      <c r="YI100" s="50"/>
      <c r="YJ100" s="50"/>
      <c r="YK100" s="50"/>
      <c r="YL100" s="50"/>
      <c r="YM100" s="50"/>
      <c r="YN100" s="50"/>
      <c r="YO100" s="50"/>
      <c r="YP100" s="50"/>
      <c r="YQ100" s="50"/>
      <c r="YR100" s="50"/>
      <c r="YS100" s="50"/>
      <c r="YT100" s="50"/>
      <c r="YU100" s="50"/>
      <c r="YV100" s="50"/>
      <c r="YW100" s="50"/>
      <c r="YX100" s="50"/>
      <c r="YY100" s="50"/>
      <c r="YZ100" s="50"/>
      <c r="ZA100" s="50"/>
      <c r="ZB100" s="50"/>
      <c r="ZC100" s="50"/>
      <c r="ZD100" s="50"/>
      <c r="ZE100" s="50"/>
      <c r="ZF100" s="50"/>
      <c r="ZG100" s="50"/>
      <c r="ZH100" s="50"/>
      <c r="ZI100" s="50"/>
      <c r="ZJ100" s="50"/>
      <c r="ZK100" s="50"/>
      <c r="ZL100" s="50"/>
      <c r="ZM100" s="50"/>
      <c r="ZN100" s="50"/>
      <c r="ZO100" s="50"/>
      <c r="ZP100" s="50"/>
      <c r="ZQ100" s="50"/>
      <c r="ZR100" s="50"/>
      <c r="ZS100" s="50"/>
      <c r="ZT100" s="50"/>
      <c r="ZU100" s="50"/>
      <c r="ZV100" s="50"/>
      <c r="ZW100" s="50"/>
      <c r="ZX100" s="50"/>
      <c r="ZY100" s="50"/>
      <c r="ZZ100" s="50"/>
      <c r="AAA100" s="50"/>
      <c r="AAB100" s="50"/>
      <c r="AAC100" s="50"/>
      <c r="AAD100" s="50"/>
      <c r="AAE100" s="50"/>
      <c r="AAF100" s="50"/>
      <c r="AAG100" s="50"/>
      <c r="AAH100" s="50"/>
      <c r="AAI100" s="50"/>
      <c r="AAJ100" s="50"/>
      <c r="AAK100" s="50"/>
      <c r="AAL100" s="50"/>
      <c r="AAM100" s="50"/>
      <c r="AAN100" s="50"/>
      <c r="AAO100" s="50"/>
      <c r="AAP100" s="50"/>
      <c r="AAQ100" s="50"/>
      <c r="AAR100" s="50"/>
      <c r="AAS100" s="50"/>
      <c r="AAT100" s="50"/>
      <c r="AAU100" s="50"/>
      <c r="AAV100" s="50"/>
      <c r="AAW100" s="50"/>
      <c r="AAX100" s="50"/>
      <c r="AAY100" s="50"/>
      <c r="AAZ100" s="50"/>
      <c r="ABA100" s="50"/>
      <c r="ABB100" s="50"/>
      <c r="ABC100" s="50"/>
      <c r="ABD100" s="50"/>
      <c r="ABE100" s="50"/>
      <c r="ABF100" s="50"/>
      <c r="ABG100" s="50"/>
      <c r="ABH100" s="50"/>
      <c r="ABI100" s="50"/>
      <c r="ABJ100" s="50"/>
      <c r="ABK100" s="50"/>
      <c r="ABL100" s="50"/>
      <c r="ABM100" s="50"/>
      <c r="ABN100" s="50"/>
      <c r="ABO100" s="50"/>
      <c r="ABP100" s="50"/>
      <c r="ABQ100" s="50"/>
      <c r="ABR100" s="50"/>
      <c r="ABS100" s="50"/>
      <c r="ABT100" s="50"/>
      <c r="ABU100" s="50"/>
      <c r="ABV100" s="50"/>
      <c r="ABW100" s="50"/>
      <c r="ABX100" s="50"/>
      <c r="ABY100" s="50"/>
      <c r="ABZ100" s="50"/>
      <c r="ACA100" s="50"/>
      <c r="ACB100" s="50"/>
      <c r="ACC100" s="50"/>
      <c r="ACD100" s="50"/>
      <c r="ACE100" s="50"/>
      <c r="ACF100" s="50"/>
      <c r="ACG100" s="50"/>
      <c r="ACH100" s="50"/>
      <c r="ACI100" s="50"/>
      <c r="ACJ100" s="50"/>
      <c r="ACK100" s="50"/>
      <c r="ACL100" s="50"/>
      <c r="ACM100" s="50"/>
      <c r="ACN100" s="50"/>
      <c r="ACO100" s="50"/>
      <c r="ACP100" s="50"/>
      <c r="ACQ100" s="50"/>
      <c r="ACR100" s="50"/>
      <c r="ACS100" s="50"/>
      <c r="ACT100" s="50"/>
      <c r="ACU100" s="50"/>
      <c r="ACV100" s="50"/>
      <c r="ACW100" s="50"/>
      <c r="ACX100" s="50"/>
      <c r="ACY100" s="50"/>
      <c r="ACZ100" s="50"/>
      <c r="ADA100" s="50"/>
      <c r="ADB100" s="50"/>
      <c r="ADC100" s="50"/>
      <c r="ADD100" s="50"/>
      <c r="ADE100" s="50"/>
      <c r="ADF100" s="50"/>
      <c r="ADG100" s="50"/>
      <c r="ADH100" s="50"/>
      <c r="ADI100" s="50"/>
      <c r="ADJ100" s="50"/>
      <c r="ADK100" s="50"/>
      <c r="ADL100" s="50"/>
      <c r="ADM100" s="50"/>
      <c r="ADN100" s="50"/>
      <c r="ADO100" s="50"/>
      <c r="ADP100" s="50"/>
      <c r="ADQ100" s="50"/>
      <c r="ADR100" s="50"/>
      <c r="ADS100" s="50"/>
      <c r="ADT100" s="50"/>
      <c r="ADU100" s="50"/>
      <c r="ADV100" s="50"/>
      <c r="ADW100" s="50"/>
      <c r="ADX100" s="50"/>
      <c r="ADY100" s="50"/>
      <c r="ADZ100" s="50"/>
      <c r="AEA100" s="50"/>
      <c r="AEB100" s="50"/>
      <c r="AEC100" s="50"/>
      <c r="AED100" s="50"/>
      <c r="AEE100" s="50"/>
      <c r="AEF100" s="50"/>
      <c r="AEG100" s="50"/>
      <c r="AEH100" s="50"/>
      <c r="AEI100" s="50"/>
      <c r="AEJ100" s="50"/>
      <c r="AEK100" s="50"/>
      <c r="AEL100" s="50"/>
      <c r="AEM100" s="50"/>
      <c r="AEN100" s="50"/>
      <c r="AEO100" s="50"/>
      <c r="AEP100" s="50"/>
      <c r="AEQ100" s="50"/>
      <c r="AER100" s="50"/>
      <c r="AES100" s="50"/>
      <c r="AET100" s="50"/>
      <c r="AEU100" s="50"/>
      <c r="AEV100" s="50"/>
      <c r="AEW100" s="50"/>
      <c r="AEX100" s="50"/>
      <c r="AEY100" s="50"/>
      <c r="AEZ100" s="50"/>
      <c r="AFA100" s="50"/>
      <c r="AFB100" s="50"/>
      <c r="AFC100" s="50"/>
      <c r="AFD100" s="50"/>
      <c r="AFE100" s="50"/>
      <c r="AFF100" s="50"/>
      <c r="AFG100" s="50"/>
      <c r="AFH100" s="50"/>
      <c r="AFI100" s="50"/>
      <c r="AFJ100" s="50"/>
      <c r="AFK100" s="50"/>
      <c r="AFL100" s="50"/>
      <c r="AFM100" s="50"/>
      <c r="AFN100" s="50"/>
      <c r="AFO100" s="50"/>
      <c r="AFP100" s="50"/>
      <c r="AFQ100" s="50"/>
      <c r="AFR100" s="50"/>
      <c r="AFS100" s="50"/>
      <c r="AFT100" s="50"/>
      <c r="AFU100" s="50"/>
      <c r="AFV100" s="50"/>
      <c r="AFW100" s="50"/>
      <c r="AFX100" s="50"/>
      <c r="AFY100" s="50"/>
      <c r="AFZ100" s="50"/>
      <c r="AGA100" s="50"/>
      <c r="AGB100" s="50"/>
      <c r="AGC100" s="50"/>
      <c r="AGD100" s="50"/>
      <c r="AGE100" s="50"/>
      <c r="AGF100" s="50"/>
      <c r="AGG100" s="50"/>
      <c r="AGH100" s="50"/>
      <c r="AGI100" s="50"/>
      <c r="AGJ100" s="50"/>
      <c r="AGK100" s="50"/>
      <c r="AGL100" s="50"/>
      <c r="AGM100" s="50"/>
      <c r="AGN100" s="50"/>
      <c r="AGO100" s="50"/>
      <c r="AGP100" s="50"/>
      <c r="AGQ100" s="50"/>
      <c r="AGR100" s="50"/>
      <c r="AGS100" s="50"/>
      <c r="AGT100" s="50"/>
      <c r="AGU100" s="50"/>
      <c r="AGV100" s="50"/>
      <c r="AGW100" s="50"/>
      <c r="AGX100" s="50"/>
      <c r="AGY100" s="50"/>
      <c r="AGZ100" s="50"/>
      <c r="AHA100" s="50"/>
      <c r="AHB100" s="50"/>
      <c r="AHC100" s="50"/>
      <c r="AHD100" s="50"/>
      <c r="AHE100" s="50"/>
      <c r="AHF100" s="50"/>
      <c r="AHG100" s="50"/>
      <c r="AHH100" s="50"/>
      <c r="AHI100" s="50"/>
      <c r="AHJ100" s="50"/>
      <c r="AHK100" s="50"/>
      <c r="AHL100" s="50"/>
      <c r="AHM100" s="50"/>
      <c r="AHN100" s="50"/>
      <c r="AHO100" s="50"/>
      <c r="AHP100" s="50"/>
      <c r="AHQ100" s="50"/>
      <c r="AHR100" s="50"/>
      <c r="AHS100" s="50"/>
      <c r="AHT100" s="50"/>
      <c r="AHU100" s="50"/>
      <c r="AHV100" s="50"/>
      <c r="AHW100" s="50"/>
      <c r="AHX100" s="50"/>
      <c r="AHY100" s="50"/>
      <c r="AHZ100" s="50"/>
      <c r="AIA100" s="50"/>
      <c r="AIB100" s="50"/>
      <c r="AIC100" s="50"/>
      <c r="AID100" s="50"/>
      <c r="AIE100" s="50"/>
      <c r="AIF100" s="50"/>
      <c r="AIG100" s="50"/>
      <c r="AIH100" s="50"/>
      <c r="AII100" s="50"/>
      <c r="AIJ100" s="50"/>
      <c r="AIK100" s="50"/>
      <c r="AIL100" s="50"/>
      <c r="AIM100" s="50"/>
      <c r="AIN100" s="50"/>
      <c r="AIO100" s="50"/>
      <c r="AIP100" s="50"/>
      <c r="AIQ100" s="50"/>
      <c r="AIR100" s="50"/>
      <c r="AIS100" s="50"/>
      <c r="AIT100" s="50"/>
      <c r="AIU100" s="50"/>
      <c r="AIV100" s="50"/>
      <c r="AIW100" s="50"/>
      <c r="AIX100" s="50"/>
      <c r="AIY100" s="50"/>
      <c r="AIZ100" s="50"/>
      <c r="AJA100" s="50"/>
      <c r="AJB100" s="50"/>
      <c r="AJC100" s="50"/>
      <c r="AJD100" s="50"/>
      <c r="AJE100" s="50"/>
      <c r="AJF100" s="50"/>
      <c r="AJG100" s="50"/>
      <c r="AJH100" s="50"/>
      <c r="AJI100" s="50"/>
      <c r="AJJ100" s="50"/>
      <c r="AJK100" s="50"/>
      <c r="AJL100" s="50"/>
      <c r="AJM100" s="50"/>
      <c r="AJN100" s="50"/>
      <c r="AJO100" s="50"/>
      <c r="AJP100" s="50"/>
      <c r="AJQ100" s="50"/>
      <c r="AJR100" s="50"/>
      <c r="AJS100" s="50"/>
      <c r="AJT100" s="50"/>
      <c r="AJU100" s="50"/>
      <c r="AJV100" s="50"/>
      <c r="AJW100" s="50"/>
      <c r="AJX100" s="50"/>
      <c r="AJY100" s="50"/>
      <c r="AJZ100" s="50"/>
      <c r="AKA100" s="50"/>
      <c r="AKB100" s="50"/>
      <c r="AKC100" s="50"/>
      <c r="AKD100" s="50"/>
      <c r="AKE100" s="50"/>
      <c r="AKF100" s="50"/>
      <c r="AKG100" s="50"/>
      <c r="AKH100" s="50"/>
      <c r="AKI100" s="50"/>
      <c r="AKJ100" s="50"/>
      <c r="AKK100" s="50"/>
      <c r="AKL100" s="50"/>
      <c r="AKM100" s="50"/>
      <c r="AKN100" s="50"/>
      <c r="AKO100" s="50"/>
      <c r="AKP100" s="50"/>
      <c r="AKQ100" s="50"/>
      <c r="AKR100" s="50"/>
      <c r="AKS100" s="50"/>
      <c r="AKT100" s="50"/>
      <c r="AKU100" s="50"/>
      <c r="AKV100" s="50"/>
      <c r="AKW100" s="50"/>
      <c r="AKX100" s="50"/>
      <c r="AKY100" s="50"/>
      <c r="AKZ100" s="50"/>
      <c r="ALA100" s="50"/>
      <c r="ALB100" s="50"/>
      <c r="ALC100" s="50"/>
      <c r="ALD100" s="50"/>
      <c r="ALE100" s="50"/>
      <c r="ALF100" s="50"/>
      <c r="ALG100" s="50"/>
      <c r="ALH100" s="50"/>
      <c r="ALI100" s="50"/>
      <c r="ALJ100" s="50"/>
      <c r="ALK100" s="50"/>
      <c r="ALL100" s="50"/>
      <c r="ALM100" s="50"/>
      <c r="ALN100" s="50"/>
      <c r="ALO100" s="50"/>
      <c r="ALP100" s="50"/>
      <c r="ALQ100" s="50"/>
      <c r="ALR100" s="50"/>
      <c r="ALS100" s="50"/>
      <c r="ALT100" s="50"/>
      <c r="ALU100" s="50"/>
      <c r="ALV100" s="50"/>
      <c r="ALW100" s="50"/>
      <c r="ALX100" s="50"/>
      <c r="ALY100" s="50"/>
      <c r="ALZ100" s="50"/>
      <c r="AMA100" s="50"/>
      <c r="AMB100" s="50"/>
      <c r="AMC100" s="50"/>
      <c r="AMD100" s="50"/>
      <c r="AME100" s="50"/>
      <c r="AMF100" s="50"/>
      <c r="AMG100" s="50"/>
      <c r="AMH100" s="50"/>
      <c r="AMI100" s="50"/>
      <c r="AMK100" s="50"/>
    </row>
    <row r="101" spans="1:1025" ht="16" x14ac:dyDescent="0.15">
      <c r="A101" s="33" t="s">
        <v>163</v>
      </c>
      <c r="B101" s="58"/>
      <c r="C101" s="34">
        <f t="shared" si="5"/>
        <v>19</v>
      </c>
      <c r="D101" s="34" t="s">
        <v>138</v>
      </c>
      <c r="E101" s="34" t="s">
        <v>35</v>
      </c>
      <c r="F101" s="34">
        <v>10</v>
      </c>
      <c r="G101" s="34" t="s">
        <v>86</v>
      </c>
      <c r="H101" s="34"/>
      <c r="I101" s="34"/>
      <c r="J101" s="34" t="s">
        <v>164</v>
      </c>
      <c r="K101" s="35"/>
      <c r="L101" s="33"/>
      <c r="M101" s="33" t="s">
        <v>163</v>
      </c>
      <c r="N101" s="34" t="s">
        <v>138</v>
      </c>
      <c r="O101" s="34" t="s">
        <v>35</v>
      </c>
      <c r="AMJ101"/>
    </row>
    <row r="102" spans="1:1025" ht="16" x14ac:dyDescent="0.15">
      <c r="A102" s="33" t="s">
        <v>163</v>
      </c>
      <c r="B102" s="58"/>
      <c r="C102" s="34">
        <f t="shared" si="5"/>
        <v>20</v>
      </c>
      <c r="D102" s="34" t="s">
        <v>138</v>
      </c>
      <c r="E102" s="34" t="s">
        <v>35</v>
      </c>
      <c r="F102" s="34">
        <v>23</v>
      </c>
      <c r="G102" s="34" t="s">
        <v>165</v>
      </c>
      <c r="H102" s="34"/>
      <c r="I102" s="34"/>
      <c r="J102" s="34" t="s">
        <v>75</v>
      </c>
      <c r="K102" s="35"/>
      <c r="L102" s="36"/>
      <c r="M102" s="33" t="s">
        <v>163</v>
      </c>
      <c r="N102" s="34" t="s">
        <v>138</v>
      </c>
      <c r="O102" s="34" t="s">
        <v>35</v>
      </c>
      <c r="AMJ102"/>
    </row>
    <row r="103" spans="1:1025" x14ac:dyDescent="0.15">
      <c r="A103" s="8" t="s">
        <v>166</v>
      </c>
      <c r="B103" s="58"/>
      <c r="C103" s="8">
        <f t="shared" si="5"/>
        <v>21</v>
      </c>
      <c r="D103" s="8" t="s">
        <v>167</v>
      </c>
      <c r="E103" s="8" t="s">
        <v>22</v>
      </c>
      <c r="F103" s="8">
        <v>11</v>
      </c>
      <c r="G103" s="8" t="s">
        <v>165</v>
      </c>
      <c r="H103" s="8" t="s">
        <v>168</v>
      </c>
      <c r="I103" s="8" t="s">
        <v>169</v>
      </c>
      <c r="J103" s="2"/>
      <c r="K103" s="2"/>
      <c r="L103" s="8"/>
      <c r="M103" s="8" t="s">
        <v>166</v>
      </c>
      <c r="N103" s="8" t="s">
        <v>167</v>
      </c>
      <c r="O103" s="8" t="s">
        <v>22</v>
      </c>
      <c r="AMJ103"/>
    </row>
    <row r="104" spans="1:1025" x14ac:dyDescent="0.15">
      <c r="A104" s="8" t="s">
        <v>170</v>
      </c>
      <c r="B104" s="58"/>
      <c r="C104" s="8">
        <f t="shared" si="5"/>
        <v>22</v>
      </c>
      <c r="D104" s="8" t="s">
        <v>171</v>
      </c>
      <c r="E104" s="8" t="s">
        <v>60</v>
      </c>
      <c r="F104" s="8" t="s">
        <v>204</v>
      </c>
      <c r="G104" s="8" t="s">
        <v>165</v>
      </c>
      <c r="H104" s="8" t="s">
        <v>168</v>
      </c>
      <c r="I104" s="8" t="s">
        <v>169</v>
      </c>
      <c r="J104" s="2"/>
      <c r="K104" s="2"/>
      <c r="L104" s="8"/>
      <c r="M104" s="8" t="s">
        <v>170</v>
      </c>
      <c r="N104" s="8" t="s">
        <v>171</v>
      </c>
      <c r="O104" s="8" t="s">
        <v>60</v>
      </c>
      <c r="AMJ104"/>
    </row>
    <row r="105" spans="1:1025" x14ac:dyDescent="0.15">
      <c r="A105" s="8" t="s">
        <v>172</v>
      </c>
      <c r="B105" s="58"/>
      <c r="C105" s="8">
        <f t="shared" si="5"/>
        <v>23</v>
      </c>
      <c r="D105" s="8" t="s">
        <v>171</v>
      </c>
      <c r="E105" s="8" t="s">
        <v>22</v>
      </c>
      <c r="F105" s="8">
        <v>12</v>
      </c>
      <c r="G105" s="8" t="s">
        <v>173</v>
      </c>
      <c r="H105" s="8" t="s">
        <v>168</v>
      </c>
      <c r="I105" s="8" t="s">
        <v>169</v>
      </c>
      <c r="J105" s="2"/>
      <c r="K105" s="2"/>
      <c r="L105" s="8"/>
      <c r="M105" s="8" t="s">
        <v>172</v>
      </c>
      <c r="N105" s="8" t="s">
        <v>171</v>
      </c>
      <c r="O105" s="8" t="s">
        <v>22</v>
      </c>
      <c r="AMJ105"/>
    </row>
    <row r="106" spans="1:1025" s="44" customFormat="1" x14ac:dyDescent="0.15">
      <c r="A106" s="41" t="s">
        <v>210</v>
      </c>
      <c r="B106" s="58"/>
      <c r="C106" s="41">
        <f t="shared" si="5"/>
        <v>24</v>
      </c>
      <c r="D106" s="41"/>
      <c r="E106" s="41" t="s">
        <v>60</v>
      </c>
      <c r="F106" s="41"/>
      <c r="G106" s="41"/>
      <c r="H106" s="41"/>
      <c r="I106" s="41"/>
      <c r="J106" s="42"/>
      <c r="K106" s="42"/>
      <c r="L106" s="41"/>
      <c r="M106" s="41"/>
      <c r="N106" s="41"/>
      <c r="O106" s="41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  <c r="IT106" s="43"/>
      <c r="IU106" s="43"/>
      <c r="IV106" s="43"/>
      <c r="IW106" s="43"/>
      <c r="IX106" s="43"/>
      <c r="IY106" s="43"/>
      <c r="IZ106" s="43"/>
      <c r="JA106" s="43"/>
      <c r="JB106" s="43"/>
      <c r="JC106" s="43"/>
      <c r="JD106" s="43"/>
      <c r="JE106" s="43"/>
      <c r="JF106" s="43"/>
      <c r="JG106" s="43"/>
      <c r="JH106" s="43"/>
      <c r="JI106" s="43"/>
      <c r="JJ106" s="43"/>
      <c r="JK106" s="43"/>
      <c r="JL106" s="43"/>
      <c r="JM106" s="43"/>
      <c r="JN106" s="43"/>
      <c r="JO106" s="43"/>
      <c r="JP106" s="43"/>
      <c r="JQ106" s="43"/>
      <c r="JR106" s="43"/>
      <c r="JS106" s="43"/>
      <c r="JT106" s="43"/>
      <c r="JU106" s="43"/>
      <c r="JV106" s="43"/>
      <c r="JW106" s="43"/>
      <c r="JX106" s="43"/>
      <c r="JY106" s="43"/>
      <c r="JZ106" s="43"/>
      <c r="KA106" s="43"/>
      <c r="KB106" s="43"/>
      <c r="KC106" s="43"/>
      <c r="KD106" s="43"/>
      <c r="KE106" s="43"/>
      <c r="KF106" s="43"/>
      <c r="KG106" s="43"/>
      <c r="KH106" s="43"/>
      <c r="KI106" s="43"/>
      <c r="KJ106" s="43"/>
      <c r="KK106" s="43"/>
      <c r="KL106" s="43"/>
      <c r="KM106" s="43"/>
      <c r="KN106" s="43"/>
      <c r="KO106" s="43"/>
      <c r="KP106" s="43"/>
      <c r="KQ106" s="43"/>
      <c r="KR106" s="43"/>
      <c r="KS106" s="43"/>
      <c r="KT106" s="43"/>
      <c r="KU106" s="43"/>
      <c r="KV106" s="43"/>
      <c r="KW106" s="43"/>
      <c r="KX106" s="43"/>
      <c r="KY106" s="43"/>
      <c r="KZ106" s="43"/>
      <c r="LA106" s="43"/>
      <c r="LB106" s="43"/>
      <c r="LC106" s="43"/>
      <c r="LD106" s="43"/>
      <c r="LE106" s="43"/>
      <c r="LF106" s="43"/>
      <c r="LG106" s="43"/>
      <c r="LH106" s="43"/>
      <c r="LI106" s="43"/>
      <c r="LJ106" s="43"/>
      <c r="LK106" s="43"/>
      <c r="LL106" s="43"/>
      <c r="LM106" s="43"/>
      <c r="LN106" s="43"/>
      <c r="LO106" s="43"/>
      <c r="LP106" s="43"/>
      <c r="LQ106" s="43"/>
      <c r="LR106" s="43"/>
      <c r="LS106" s="43"/>
      <c r="LT106" s="43"/>
      <c r="LU106" s="43"/>
      <c r="LV106" s="43"/>
      <c r="LW106" s="43"/>
      <c r="LX106" s="43"/>
      <c r="LY106" s="43"/>
      <c r="LZ106" s="43"/>
      <c r="MA106" s="43"/>
      <c r="MB106" s="43"/>
      <c r="MC106" s="43"/>
      <c r="MD106" s="43"/>
      <c r="ME106" s="43"/>
      <c r="MF106" s="43"/>
      <c r="MG106" s="43"/>
      <c r="MH106" s="43"/>
      <c r="MI106" s="43"/>
      <c r="MJ106" s="43"/>
      <c r="MK106" s="43"/>
      <c r="ML106" s="43"/>
      <c r="MM106" s="43"/>
      <c r="MN106" s="43"/>
      <c r="MO106" s="43"/>
      <c r="MP106" s="43"/>
      <c r="MQ106" s="43"/>
      <c r="MR106" s="43"/>
      <c r="MS106" s="43"/>
      <c r="MT106" s="43"/>
      <c r="MU106" s="43"/>
      <c r="MV106" s="43"/>
      <c r="MW106" s="43"/>
      <c r="MX106" s="43"/>
      <c r="MY106" s="43"/>
      <c r="MZ106" s="43"/>
      <c r="NA106" s="43"/>
      <c r="NB106" s="43"/>
      <c r="NC106" s="43"/>
      <c r="ND106" s="43"/>
      <c r="NE106" s="43"/>
      <c r="NF106" s="43"/>
      <c r="NG106" s="43"/>
      <c r="NH106" s="43"/>
      <c r="NI106" s="43"/>
      <c r="NJ106" s="43"/>
      <c r="NK106" s="43"/>
      <c r="NL106" s="43"/>
      <c r="NM106" s="43"/>
      <c r="NN106" s="43"/>
      <c r="NO106" s="43"/>
      <c r="NP106" s="43"/>
      <c r="NQ106" s="43"/>
      <c r="NR106" s="43"/>
      <c r="NS106" s="43"/>
      <c r="NT106" s="43"/>
      <c r="NU106" s="43"/>
      <c r="NV106" s="43"/>
      <c r="NW106" s="43"/>
      <c r="NX106" s="43"/>
      <c r="NY106" s="43"/>
      <c r="NZ106" s="43"/>
      <c r="OA106" s="43"/>
      <c r="OB106" s="43"/>
      <c r="OC106" s="43"/>
      <c r="OD106" s="43"/>
      <c r="OE106" s="43"/>
      <c r="OF106" s="43"/>
      <c r="OG106" s="43"/>
      <c r="OH106" s="43"/>
      <c r="OI106" s="43"/>
      <c r="OJ106" s="43"/>
      <c r="OK106" s="43"/>
      <c r="OL106" s="43"/>
      <c r="OM106" s="43"/>
      <c r="ON106" s="43"/>
      <c r="OO106" s="43"/>
      <c r="OP106" s="43"/>
      <c r="OQ106" s="43"/>
      <c r="OR106" s="43"/>
      <c r="OS106" s="43"/>
      <c r="OT106" s="43"/>
      <c r="OU106" s="43"/>
      <c r="OV106" s="43"/>
      <c r="OW106" s="43"/>
      <c r="OX106" s="43"/>
      <c r="OY106" s="43"/>
      <c r="OZ106" s="43"/>
      <c r="PA106" s="43"/>
      <c r="PB106" s="43"/>
      <c r="PC106" s="43"/>
      <c r="PD106" s="43"/>
      <c r="PE106" s="43"/>
      <c r="PF106" s="43"/>
      <c r="PG106" s="43"/>
      <c r="PH106" s="43"/>
      <c r="PI106" s="43"/>
      <c r="PJ106" s="43"/>
      <c r="PK106" s="43"/>
      <c r="PL106" s="43"/>
      <c r="PM106" s="43"/>
      <c r="PN106" s="43"/>
      <c r="PO106" s="43"/>
      <c r="PP106" s="43"/>
      <c r="PQ106" s="43"/>
      <c r="PR106" s="43"/>
      <c r="PS106" s="43"/>
      <c r="PT106" s="43"/>
      <c r="PU106" s="43"/>
      <c r="PV106" s="43"/>
      <c r="PW106" s="43"/>
      <c r="PX106" s="43"/>
      <c r="PY106" s="43"/>
      <c r="PZ106" s="43"/>
      <c r="QA106" s="43"/>
      <c r="QB106" s="43"/>
      <c r="QC106" s="43"/>
      <c r="QD106" s="43"/>
      <c r="QE106" s="43"/>
      <c r="QF106" s="43"/>
      <c r="QG106" s="43"/>
      <c r="QH106" s="43"/>
      <c r="QI106" s="43"/>
      <c r="QJ106" s="43"/>
      <c r="QK106" s="43"/>
      <c r="QL106" s="43"/>
      <c r="QM106" s="43"/>
      <c r="QN106" s="43"/>
      <c r="QO106" s="43"/>
      <c r="QP106" s="43"/>
      <c r="QQ106" s="43"/>
      <c r="QR106" s="43"/>
      <c r="QS106" s="43"/>
      <c r="QT106" s="43"/>
      <c r="QU106" s="43"/>
      <c r="QV106" s="43"/>
      <c r="QW106" s="43"/>
      <c r="QX106" s="43"/>
      <c r="QY106" s="43"/>
      <c r="QZ106" s="43"/>
      <c r="RA106" s="43"/>
      <c r="RB106" s="43"/>
      <c r="RC106" s="43"/>
      <c r="RD106" s="43"/>
      <c r="RE106" s="43"/>
      <c r="RF106" s="43"/>
      <c r="RG106" s="43"/>
      <c r="RH106" s="43"/>
      <c r="RI106" s="43"/>
      <c r="RJ106" s="43"/>
      <c r="RK106" s="43"/>
      <c r="RL106" s="43"/>
      <c r="RM106" s="43"/>
      <c r="RN106" s="43"/>
      <c r="RO106" s="43"/>
      <c r="RP106" s="43"/>
      <c r="RQ106" s="43"/>
      <c r="RR106" s="43"/>
      <c r="RS106" s="43"/>
      <c r="RT106" s="43"/>
      <c r="RU106" s="43"/>
      <c r="RV106" s="43"/>
      <c r="RW106" s="43"/>
      <c r="RX106" s="43"/>
      <c r="RY106" s="43"/>
      <c r="RZ106" s="43"/>
      <c r="SA106" s="43"/>
      <c r="SB106" s="43"/>
      <c r="SC106" s="43"/>
      <c r="SD106" s="43"/>
      <c r="SE106" s="43"/>
      <c r="SF106" s="43"/>
      <c r="SG106" s="43"/>
      <c r="SH106" s="43"/>
      <c r="SI106" s="43"/>
      <c r="SJ106" s="43"/>
      <c r="SK106" s="43"/>
      <c r="SL106" s="43"/>
      <c r="SM106" s="43"/>
      <c r="SN106" s="43"/>
      <c r="SO106" s="43"/>
      <c r="SP106" s="43"/>
      <c r="SQ106" s="43"/>
      <c r="SR106" s="43"/>
      <c r="SS106" s="43"/>
      <c r="ST106" s="43"/>
      <c r="SU106" s="43"/>
      <c r="SV106" s="43"/>
      <c r="SW106" s="43"/>
      <c r="SX106" s="43"/>
      <c r="SY106" s="43"/>
      <c r="SZ106" s="43"/>
      <c r="TA106" s="43"/>
      <c r="TB106" s="43"/>
      <c r="TC106" s="43"/>
      <c r="TD106" s="43"/>
      <c r="TE106" s="43"/>
      <c r="TF106" s="43"/>
      <c r="TG106" s="43"/>
      <c r="TH106" s="43"/>
      <c r="TI106" s="43"/>
      <c r="TJ106" s="43"/>
      <c r="TK106" s="43"/>
      <c r="TL106" s="43"/>
      <c r="TM106" s="43"/>
      <c r="TN106" s="43"/>
      <c r="TO106" s="43"/>
      <c r="TP106" s="43"/>
      <c r="TQ106" s="43"/>
      <c r="TR106" s="43"/>
      <c r="TS106" s="43"/>
      <c r="TT106" s="43"/>
      <c r="TU106" s="43"/>
      <c r="TV106" s="43"/>
      <c r="TW106" s="43"/>
      <c r="TX106" s="43"/>
      <c r="TY106" s="43"/>
      <c r="TZ106" s="43"/>
      <c r="UA106" s="43"/>
      <c r="UB106" s="43"/>
      <c r="UC106" s="43"/>
      <c r="UD106" s="43"/>
      <c r="UE106" s="43"/>
      <c r="UF106" s="43"/>
      <c r="UG106" s="43"/>
      <c r="UH106" s="43"/>
      <c r="UI106" s="43"/>
      <c r="UJ106" s="43"/>
      <c r="UK106" s="43"/>
      <c r="UL106" s="43"/>
      <c r="UM106" s="43"/>
      <c r="UN106" s="43"/>
      <c r="UO106" s="43"/>
      <c r="UP106" s="43"/>
      <c r="UQ106" s="43"/>
      <c r="UR106" s="43"/>
      <c r="US106" s="43"/>
      <c r="UT106" s="43"/>
      <c r="UU106" s="43"/>
      <c r="UV106" s="43"/>
      <c r="UW106" s="43"/>
      <c r="UX106" s="43"/>
      <c r="UY106" s="43"/>
      <c r="UZ106" s="43"/>
      <c r="VA106" s="43"/>
      <c r="VB106" s="43"/>
      <c r="VC106" s="43"/>
      <c r="VD106" s="43"/>
      <c r="VE106" s="43"/>
      <c r="VF106" s="43"/>
      <c r="VG106" s="43"/>
      <c r="VH106" s="43"/>
      <c r="VI106" s="43"/>
      <c r="VJ106" s="43"/>
      <c r="VK106" s="43"/>
      <c r="VL106" s="43"/>
      <c r="VM106" s="43"/>
      <c r="VN106" s="43"/>
      <c r="VO106" s="43"/>
      <c r="VP106" s="43"/>
      <c r="VQ106" s="43"/>
      <c r="VR106" s="43"/>
      <c r="VS106" s="43"/>
      <c r="VT106" s="43"/>
      <c r="VU106" s="43"/>
      <c r="VV106" s="43"/>
      <c r="VW106" s="43"/>
      <c r="VX106" s="43"/>
      <c r="VY106" s="43"/>
      <c r="VZ106" s="43"/>
      <c r="WA106" s="43"/>
      <c r="WB106" s="43"/>
      <c r="WC106" s="43"/>
      <c r="WD106" s="43"/>
      <c r="WE106" s="43"/>
      <c r="WF106" s="43"/>
      <c r="WG106" s="43"/>
      <c r="WH106" s="43"/>
      <c r="WI106" s="43"/>
      <c r="WJ106" s="43"/>
      <c r="WK106" s="43"/>
      <c r="WL106" s="43"/>
      <c r="WM106" s="43"/>
      <c r="WN106" s="43"/>
      <c r="WO106" s="43"/>
      <c r="WP106" s="43"/>
      <c r="WQ106" s="43"/>
      <c r="WR106" s="43"/>
      <c r="WS106" s="43"/>
      <c r="WT106" s="43"/>
      <c r="WU106" s="43"/>
      <c r="WV106" s="43"/>
      <c r="WW106" s="43"/>
      <c r="WX106" s="43"/>
      <c r="WY106" s="43"/>
      <c r="WZ106" s="43"/>
      <c r="XA106" s="43"/>
      <c r="XB106" s="43"/>
      <c r="XC106" s="43"/>
      <c r="XD106" s="43"/>
      <c r="XE106" s="43"/>
      <c r="XF106" s="43"/>
      <c r="XG106" s="43"/>
      <c r="XH106" s="43"/>
      <c r="XI106" s="43"/>
      <c r="XJ106" s="43"/>
      <c r="XK106" s="43"/>
      <c r="XL106" s="43"/>
      <c r="XM106" s="43"/>
      <c r="XN106" s="43"/>
      <c r="XO106" s="43"/>
      <c r="XP106" s="43"/>
      <c r="XQ106" s="43"/>
      <c r="XR106" s="43"/>
      <c r="XS106" s="43"/>
      <c r="XT106" s="43"/>
      <c r="XU106" s="43"/>
      <c r="XV106" s="43"/>
      <c r="XW106" s="43"/>
      <c r="XX106" s="43"/>
      <c r="XY106" s="43"/>
      <c r="XZ106" s="43"/>
      <c r="YA106" s="43"/>
      <c r="YB106" s="43"/>
      <c r="YC106" s="43"/>
      <c r="YD106" s="43"/>
      <c r="YE106" s="43"/>
      <c r="YF106" s="43"/>
      <c r="YG106" s="43"/>
      <c r="YH106" s="43"/>
      <c r="YI106" s="43"/>
      <c r="YJ106" s="43"/>
      <c r="YK106" s="43"/>
      <c r="YL106" s="43"/>
      <c r="YM106" s="43"/>
      <c r="YN106" s="43"/>
      <c r="YO106" s="43"/>
      <c r="YP106" s="43"/>
      <c r="YQ106" s="43"/>
      <c r="YR106" s="43"/>
      <c r="YS106" s="43"/>
      <c r="YT106" s="43"/>
      <c r="YU106" s="43"/>
      <c r="YV106" s="43"/>
      <c r="YW106" s="43"/>
      <c r="YX106" s="43"/>
      <c r="YY106" s="43"/>
      <c r="YZ106" s="43"/>
      <c r="ZA106" s="43"/>
      <c r="ZB106" s="43"/>
      <c r="ZC106" s="43"/>
      <c r="ZD106" s="43"/>
      <c r="ZE106" s="43"/>
      <c r="ZF106" s="43"/>
      <c r="ZG106" s="43"/>
      <c r="ZH106" s="43"/>
      <c r="ZI106" s="43"/>
      <c r="ZJ106" s="43"/>
      <c r="ZK106" s="43"/>
      <c r="ZL106" s="43"/>
      <c r="ZM106" s="43"/>
      <c r="ZN106" s="43"/>
      <c r="ZO106" s="43"/>
      <c r="ZP106" s="43"/>
      <c r="ZQ106" s="43"/>
      <c r="ZR106" s="43"/>
      <c r="ZS106" s="43"/>
      <c r="ZT106" s="43"/>
      <c r="ZU106" s="43"/>
      <c r="ZV106" s="43"/>
      <c r="ZW106" s="43"/>
      <c r="ZX106" s="43"/>
      <c r="ZY106" s="43"/>
      <c r="ZZ106" s="43"/>
      <c r="AAA106" s="43"/>
      <c r="AAB106" s="43"/>
      <c r="AAC106" s="43"/>
      <c r="AAD106" s="43"/>
      <c r="AAE106" s="43"/>
      <c r="AAF106" s="43"/>
      <c r="AAG106" s="43"/>
      <c r="AAH106" s="43"/>
      <c r="AAI106" s="43"/>
      <c r="AAJ106" s="43"/>
      <c r="AAK106" s="43"/>
      <c r="AAL106" s="43"/>
      <c r="AAM106" s="43"/>
      <c r="AAN106" s="43"/>
      <c r="AAO106" s="43"/>
      <c r="AAP106" s="43"/>
      <c r="AAQ106" s="43"/>
      <c r="AAR106" s="43"/>
      <c r="AAS106" s="43"/>
      <c r="AAT106" s="43"/>
      <c r="AAU106" s="43"/>
      <c r="AAV106" s="43"/>
      <c r="AAW106" s="43"/>
      <c r="AAX106" s="43"/>
      <c r="AAY106" s="43"/>
      <c r="AAZ106" s="43"/>
      <c r="ABA106" s="43"/>
      <c r="ABB106" s="43"/>
      <c r="ABC106" s="43"/>
      <c r="ABD106" s="43"/>
      <c r="ABE106" s="43"/>
      <c r="ABF106" s="43"/>
      <c r="ABG106" s="43"/>
      <c r="ABH106" s="43"/>
      <c r="ABI106" s="43"/>
      <c r="ABJ106" s="43"/>
      <c r="ABK106" s="43"/>
      <c r="ABL106" s="43"/>
      <c r="ABM106" s="43"/>
      <c r="ABN106" s="43"/>
      <c r="ABO106" s="43"/>
      <c r="ABP106" s="43"/>
      <c r="ABQ106" s="43"/>
      <c r="ABR106" s="43"/>
      <c r="ABS106" s="43"/>
      <c r="ABT106" s="43"/>
      <c r="ABU106" s="43"/>
      <c r="ABV106" s="43"/>
      <c r="ABW106" s="43"/>
      <c r="ABX106" s="43"/>
      <c r="ABY106" s="43"/>
      <c r="ABZ106" s="43"/>
      <c r="ACA106" s="43"/>
      <c r="ACB106" s="43"/>
      <c r="ACC106" s="43"/>
      <c r="ACD106" s="43"/>
      <c r="ACE106" s="43"/>
      <c r="ACF106" s="43"/>
      <c r="ACG106" s="43"/>
      <c r="ACH106" s="43"/>
      <c r="ACI106" s="43"/>
      <c r="ACJ106" s="43"/>
      <c r="ACK106" s="43"/>
      <c r="ACL106" s="43"/>
      <c r="ACM106" s="43"/>
      <c r="ACN106" s="43"/>
      <c r="ACO106" s="43"/>
      <c r="ACP106" s="43"/>
      <c r="ACQ106" s="43"/>
      <c r="ACR106" s="43"/>
      <c r="ACS106" s="43"/>
      <c r="ACT106" s="43"/>
      <c r="ACU106" s="43"/>
      <c r="ACV106" s="43"/>
      <c r="ACW106" s="43"/>
      <c r="ACX106" s="43"/>
      <c r="ACY106" s="43"/>
      <c r="ACZ106" s="43"/>
      <c r="ADA106" s="43"/>
      <c r="ADB106" s="43"/>
      <c r="ADC106" s="43"/>
      <c r="ADD106" s="43"/>
      <c r="ADE106" s="43"/>
      <c r="ADF106" s="43"/>
      <c r="ADG106" s="43"/>
      <c r="ADH106" s="43"/>
      <c r="ADI106" s="43"/>
      <c r="ADJ106" s="43"/>
      <c r="ADK106" s="43"/>
      <c r="ADL106" s="43"/>
      <c r="ADM106" s="43"/>
      <c r="ADN106" s="43"/>
      <c r="ADO106" s="43"/>
      <c r="ADP106" s="43"/>
      <c r="ADQ106" s="43"/>
      <c r="ADR106" s="43"/>
      <c r="ADS106" s="43"/>
      <c r="ADT106" s="43"/>
      <c r="ADU106" s="43"/>
      <c r="ADV106" s="43"/>
      <c r="ADW106" s="43"/>
      <c r="ADX106" s="43"/>
      <c r="ADY106" s="43"/>
      <c r="ADZ106" s="43"/>
      <c r="AEA106" s="43"/>
      <c r="AEB106" s="43"/>
      <c r="AEC106" s="43"/>
      <c r="AED106" s="43"/>
      <c r="AEE106" s="43"/>
      <c r="AEF106" s="43"/>
      <c r="AEG106" s="43"/>
      <c r="AEH106" s="43"/>
      <c r="AEI106" s="43"/>
      <c r="AEJ106" s="43"/>
      <c r="AEK106" s="43"/>
      <c r="AEL106" s="43"/>
      <c r="AEM106" s="43"/>
      <c r="AEN106" s="43"/>
      <c r="AEO106" s="43"/>
      <c r="AEP106" s="43"/>
      <c r="AEQ106" s="43"/>
      <c r="AER106" s="43"/>
      <c r="AES106" s="43"/>
      <c r="AET106" s="43"/>
      <c r="AEU106" s="43"/>
      <c r="AEV106" s="43"/>
      <c r="AEW106" s="43"/>
      <c r="AEX106" s="43"/>
      <c r="AEY106" s="43"/>
      <c r="AEZ106" s="43"/>
      <c r="AFA106" s="43"/>
      <c r="AFB106" s="43"/>
      <c r="AFC106" s="43"/>
      <c r="AFD106" s="43"/>
      <c r="AFE106" s="43"/>
      <c r="AFF106" s="43"/>
      <c r="AFG106" s="43"/>
      <c r="AFH106" s="43"/>
      <c r="AFI106" s="43"/>
      <c r="AFJ106" s="43"/>
      <c r="AFK106" s="43"/>
      <c r="AFL106" s="43"/>
      <c r="AFM106" s="43"/>
      <c r="AFN106" s="43"/>
      <c r="AFO106" s="43"/>
      <c r="AFP106" s="43"/>
      <c r="AFQ106" s="43"/>
      <c r="AFR106" s="43"/>
      <c r="AFS106" s="43"/>
      <c r="AFT106" s="43"/>
      <c r="AFU106" s="43"/>
      <c r="AFV106" s="43"/>
      <c r="AFW106" s="43"/>
      <c r="AFX106" s="43"/>
      <c r="AFY106" s="43"/>
      <c r="AFZ106" s="43"/>
      <c r="AGA106" s="43"/>
      <c r="AGB106" s="43"/>
      <c r="AGC106" s="43"/>
      <c r="AGD106" s="43"/>
      <c r="AGE106" s="43"/>
      <c r="AGF106" s="43"/>
      <c r="AGG106" s="43"/>
      <c r="AGH106" s="43"/>
      <c r="AGI106" s="43"/>
      <c r="AGJ106" s="43"/>
      <c r="AGK106" s="43"/>
      <c r="AGL106" s="43"/>
      <c r="AGM106" s="43"/>
      <c r="AGN106" s="43"/>
      <c r="AGO106" s="43"/>
      <c r="AGP106" s="43"/>
      <c r="AGQ106" s="43"/>
      <c r="AGR106" s="43"/>
      <c r="AGS106" s="43"/>
      <c r="AGT106" s="43"/>
      <c r="AGU106" s="43"/>
      <c r="AGV106" s="43"/>
      <c r="AGW106" s="43"/>
      <c r="AGX106" s="43"/>
      <c r="AGY106" s="43"/>
      <c r="AGZ106" s="43"/>
      <c r="AHA106" s="43"/>
      <c r="AHB106" s="43"/>
      <c r="AHC106" s="43"/>
      <c r="AHD106" s="43"/>
      <c r="AHE106" s="43"/>
      <c r="AHF106" s="43"/>
      <c r="AHG106" s="43"/>
      <c r="AHH106" s="43"/>
      <c r="AHI106" s="43"/>
      <c r="AHJ106" s="43"/>
      <c r="AHK106" s="43"/>
      <c r="AHL106" s="43"/>
      <c r="AHM106" s="43"/>
      <c r="AHN106" s="43"/>
      <c r="AHO106" s="43"/>
      <c r="AHP106" s="43"/>
      <c r="AHQ106" s="43"/>
      <c r="AHR106" s="43"/>
      <c r="AHS106" s="43"/>
      <c r="AHT106" s="43"/>
      <c r="AHU106" s="43"/>
      <c r="AHV106" s="43"/>
      <c r="AHW106" s="43"/>
      <c r="AHX106" s="43"/>
      <c r="AHY106" s="43"/>
      <c r="AHZ106" s="43"/>
      <c r="AIA106" s="43"/>
      <c r="AIB106" s="43"/>
      <c r="AIC106" s="43"/>
      <c r="AID106" s="43"/>
      <c r="AIE106" s="43"/>
      <c r="AIF106" s="43"/>
      <c r="AIG106" s="43"/>
      <c r="AIH106" s="43"/>
      <c r="AII106" s="43"/>
      <c r="AIJ106" s="43"/>
      <c r="AIK106" s="43"/>
      <c r="AIL106" s="43"/>
      <c r="AIM106" s="43"/>
      <c r="AIN106" s="43"/>
      <c r="AIO106" s="43"/>
      <c r="AIP106" s="43"/>
      <c r="AIQ106" s="43"/>
      <c r="AIR106" s="43"/>
      <c r="AIS106" s="43"/>
      <c r="AIT106" s="43"/>
      <c r="AIU106" s="43"/>
      <c r="AIV106" s="43"/>
      <c r="AIW106" s="43"/>
      <c r="AIX106" s="43"/>
      <c r="AIY106" s="43"/>
      <c r="AIZ106" s="43"/>
      <c r="AJA106" s="43"/>
      <c r="AJB106" s="43"/>
      <c r="AJC106" s="43"/>
      <c r="AJD106" s="43"/>
      <c r="AJE106" s="43"/>
      <c r="AJF106" s="43"/>
      <c r="AJG106" s="43"/>
      <c r="AJH106" s="43"/>
      <c r="AJI106" s="43"/>
      <c r="AJJ106" s="43"/>
      <c r="AJK106" s="43"/>
      <c r="AJL106" s="43"/>
      <c r="AJM106" s="43"/>
      <c r="AJN106" s="43"/>
      <c r="AJO106" s="43"/>
      <c r="AJP106" s="43"/>
      <c r="AJQ106" s="43"/>
      <c r="AJR106" s="43"/>
      <c r="AJS106" s="43"/>
      <c r="AJT106" s="43"/>
      <c r="AJU106" s="43"/>
      <c r="AJV106" s="43"/>
      <c r="AJW106" s="43"/>
      <c r="AJX106" s="43"/>
      <c r="AJY106" s="43"/>
      <c r="AJZ106" s="43"/>
      <c r="AKA106" s="43"/>
      <c r="AKB106" s="43"/>
      <c r="AKC106" s="43"/>
      <c r="AKD106" s="43"/>
      <c r="AKE106" s="43"/>
      <c r="AKF106" s="43"/>
      <c r="AKG106" s="43"/>
      <c r="AKH106" s="43"/>
      <c r="AKI106" s="43"/>
      <c r="AKJ106" s="43"/>
      <c r="AKK106" s="43"/>
      <c r="AKL106" s="43"/>
      <c r="AKM106" s="43"/>
      <c r="AKN106" s="43"/>
      <c r="AKO106" s="43"/>
      <c r="AKP106" s="43"/>
      <c r="AKQ106" s="43"/>
      <c r="AKR106" s="43"/>
      <c r="AKS106" s="43"/>
      <c r="AKT106" s="43"/>
      <c r="AKU106" s="43"/>
      <c r="AKV106" s="43"/>
      <c r="AKW106" s="43"/>
      <c r="AKX106" s="43"/>
      <c r="AKY106" s="43"/>
      <c r="AKZ106" s="43"/>
      <c r="ALA106" s="43"/>
      <c r="ALB106" s="43"/>
      <c r="ALC106" s="43"/>
      <c r="ALD106" s="43"/>
      <c r="ALE106" s="43"/>
      <c r="ALF106" s="43"/>
      <c r="ALG106" s="43"/>
      <c r="ALH106" s="43"/>
      <c r="ALI106" s="43"/>
      <c r="ALJ106" s="43"/>
      <c r="ALK106" s="43"/>
      <c r="ALL106" s="43"/>
      <c r="ALM106" s="43"/>
      <c r="ALN106" s="43"/>
      <c r="ALO106" s="43"/>
      <c r="ALP106" s="43"/>
      <c r="ALQ106" s="43"/>
      <c r="ALR106" s="43"/>
      <c r="ALS106" s="43"/>
      <c r="ALT106" s="43"/>
      <c r="ALU106" s="43"/>
      <c r="ALV106" s="43"/>
      <c r="ALW106" s="43"/>
      <c r="ALX106" s="43"/>
      <c r="ALY106" s="43"/>
      <c r="ALZ106" s="43"/>
      <c r="AMA106" s="43"/>
      <c r="AMB106" s="43"/>
      <c r="AMC106" s="43"/>
      <c r="AMD106" s="43"/>
      <c r="AME106" s="43"/>
      <c r="AMF106" s="43"/>
      <c r="AMG106" s="43"/>
      <c r="AMH106" s="43"/>
      <c r="AMI106" s="43"/>
      <c r="AMK106" s="43"/>
    </row>
    <row r="107" spans="1:1025" ht="12.75" customHeight="1" x14ac:dyDescent="0.15">
      <c r="A107" s="8"/>
      <c r="B107" s="58"/>
      <c r="C107" s="8"/>
      <c r="D107" s="8"/>
      <c r="E107" s="8"/>
      <c r="F107" s="8"/>
      <c r="G107" s="8"/>
      <c r="H107" s="8"/>
      <c r="I107" s="8"/>
      <c r="J107" s="8"/>
      <c r="K107" s="86" t="s">
        <v>175</v>
      </c>
      <c r="L107" s="22"/>
      <c r="M107" s="22" t="s">
        <v>176</v>
      </c>
      <c r="N107" s="22" t="s">
        <v>167</v>
      </c>
      <c r="O107" s="22" t="s">
        <v>40</v>
      </c>
      <c r="AMJ107"/>
    </row>
    <row r="108" spans="1:1025" x14ac:dyDescent="0.15">
      <c r="A108" s="8"/>
      <c r="B108" s="58"/>
      <c r="C108" s="8"/>
      <c r="D108" s="8"/>
      <c r="E108" s="8"/>
      <c r="F108" s="8"/>
      <c r="G108" s="8"/>
      <c r="H108" s="8"/>
      <c r="I108" s="8"/>
      <c r="J108" s="8"/>
      <c r="K108" s="86"/>
      <c r="L108" s="22"/>
      <c r="M108" s="22" t="s">
        <v>177</v>
      </c>
      <c r="N108" s="22" t="s">
        <v>171</v>
      </c>
      <c r="O108" s="22" t="s">
        <v>40</v>
      </c>
      <c r="AMJ108"/>
    </row>
    <row r="109" spans="1:1025" x14ac:dyDescent="0.15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</row>
    <row r="110" spans="1:1025" x14ac:dyDescent="0.15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</row>
    <row r="111" spans="1:1025" x14ac:dyDescent="0.15">
      <c r="A111" s="81" t="s">
        <v>205</v>
      </c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</row>
  </sheetData>
  <mergeCells count="89">
    <mergeCell ref="F42:J42"/>
    <mergeCell ref="A72:O72"/>
    <mergeCell ref="A73:O73"/>
    <mergeCell ref="A74:O74"/>
    <mergeCell ref="K42:K43"/>
    <mergeCell ref="L42:O42"/>
    <mergeCell ref="D43:E43"/>
    <mergeCell ref="N43:O43"/>
    <mergeCell ref="B44:B71"/>
    <mergeCell ref="K49:K50"/>
    <mergeCell ref="L49:L50"/>
    <mergeCell ref="K62:K63"/>
    <mergeCell ref="L62:L63"/>
    <mergeCell ref="K70:K71"/>
    <mergeCell ref="O19:O20"/>
    <mergeCell ref="N21:N22"/>
    <mergeCell ref="N25:N26"/>
    <mergeCell ref="O25:O26"/>
    <mergeCell ref="A29:N29"/>
    <mergeCell ref="P13:P14"/>
    <mergeCell ref="Q13:Q14"/>
    <mergeCell ref="R13:R14"/>
    <mergeCell ref="N9:N14"/>
    <mergeCell ref="O9:O14"/>
    <mergeCell ref="R11:R12"/>
    <mergeCell ref="O7:O8"/>
    <mergeCell ref="A11:A12"/>
    <mergeCell ref="C11:C12"/>
    <mergeCell ref="H11:H12"/>
    <mergeCell ref="I11:I12"/>
    <mergeCell ref="J11:J12"/>
    <mergeCell ref="B3:B28"/>
    <mergeCell ref="A13:A14"/>
    <mergeCell ref="C13:C14"/>
    <mergeCell ref="H13:H14"/>
    <mergeCell ref="I13:I14"/>
    <mergeCell ref="J13:J14"/>
    <mergeCell ref="L13:L14"/>
    <mergeCell ref="M13:M14"/>
    <mergeCell ref="N15:N18"/>
    <mergeCell ref="N19:N20"/>
    <mergeCell ref="M1:M2"/>
    <mergeCell ref="K13:K14"/>
    <mergeCell ref="N1:N2"/>
    <mergeCell ref="O1:O2"/>
    <mergeCell ref="P1:R1"/>
    <mergeCell ref="Q2:R2"/>
    <mergeCell ref="K11:K12"/>
    <mergeCell ref="L11:L12"/>
    <mergeCell ref="M11:M12"/>
    <mergeCell ref="P11:P12"/>
    <mergeCell ref="Q11:Q12"/>
    <mergeCell ref="N3:N4"/>
    <mergeCell ref="O3:O4"/>
    <mergeCell ref="P3:R3"/>
    <mergeCell ref="P4:R4"/>
    <mergeCell ref="N7:N8"/>
    <mergeCell ref="K79:K80"/>
    <mergeCell ref="A1:A2"/>
    <mergeCell ref="B1:B2"/>
    <mergeCell ref="C1:G1"/>
    <mergeCell ref="H1:L1"/>
    <mergeCell ref="D2:E2"/>
    <mergeCell ref="F2:G2"/>
    <mergeCell ref="A30:N30"/>
    <mergeCell ref="A31:N31"/>
    <mergeCell ref="B33:G33"/>
    <mergeCell ref="B34:G34"/>
    <mergeCell ref="B35:G35"/>
    <mergeCell ref="B36:G36"/>
    <mergeCell ref="A42:A43"/>
    <mergeCell ref="B42:B43"/>
    <mergeCell ref="C42:E42"/>
    <mergeCell ref="A109:O109"/>
    <mergeCell ref="A110:O110"/>
    <mergeCell ref="A111:O111"/>
    <mergeCell ref="L79:O79"/>
    <mergeCell ref="D80:E80"/>
    <mergeCell ref="N80:O80"/>
    <mergeCell ref="B81:B108"/>
    <mergeCell ref="K86:K87"/>
    <mergeCell ref="L86:L87"/>
    <mergeCell ref="K99:K100"/>
    <mergeCell ref="L99:L100"/>
    <mergeCell ref="K107:K108"/>
    <mergeCell ref="A79:A80"/>
    <mergeCell ref="B79:B80"/>
    <mergeCell ref="C79:E79"/>
    <mergeCell ref="F79:J79"/>
  </mergeCells>
  <pageMargins left="0.186805555555556" right="0.140277777777778" top="1.0263888888888899" bottom="1.02638888888888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685C-99D1-4F76-B593-D0FD8C90201A}">
  <dimension ref="A1:I35"/>
  <sheetViews>
    <sheetView windowProtection="1" tabSelected="1" zoomScale="97" workbookViewId="0">
      <selection activeCell="I18" sqref="I18"/>
    </sheetView>
  </sheetViews>
  <sheetFormatPr baseColWidth="10" defaultColWidth="8.83203125" defaultRowHeight="13" x14ac:dyDescent="0.15"/>
  <cols>
    <col min="1" max="1" width="27" bestFit="1" customWidth="1"/>
    <col min="2" max="2" width="12.5" bestFit="1" customWidth="1"/>
    <col min="3" max="3" width="13.6640625" bestFit="1" customWidth="1"/>
    <col min="4" max="4" width="14.33203125" bestFit="1" customWidth="1"/>
    <col min="5" max="5" width="13.6640625" bestFit="1" customWidth="1"/>
    <col min="6" max="6" width="17.5" bestFit="1" customWidth="1"/>
    <col min="7" max="7" width="20.1640625" bestFit="1" customWidth="1"/>
    <col min="8" max="8" width="26.83203125" bestFit="1" customWidth="1"/>
  </cols>
  <sheetData>
    <row r="1" spans="1:9" x14ac:dyDescent="0.15">
      <c r="B1" t="s">
        <v>181</v>
      </c>
      <c r="C1" t="s">
        <v>192</v>
      </c>
      <c r="D1" t="s">
        <v>193</v>
      </c>
      <c r="E1" t="s">
        <v>183</v>
      </c>
      <c r="F1" t="s">
        <v>184</v>
      </c>
      <c r="G1" t="s">
        <v>191</v>
      </c>
      <c r="H1" t="s">
        <v>217</v>
      </c>
      <c r="I1" t="s">
        <v>219</v>
      </c>
    </row>
    <row r="2" spans="1:9" x14ac:dyDescent="0.15">
      <c r="A2" s="8" t="s">
        <v>19</v>
      </c>
      <c r="B2" t="s">
        <v>182</v>
      </c>
      <c r="C2">
        <v>1</v>
      </c>
      <c r="D2">
        <v>18</v>
      </c>
      <c r="G2">
        <v>497</v>
      </c>
      <c r="H2" t="s">
        <v>218</v>
      </c>
      <c r="I2">
        <v>500</v>
      </c>
    </row>
    <row r="3" spans="1:9" x14ac:dyDescent="0.15">
      <c r="A3" s="8" t="s">
        <v>34</v>
      </c>
      <c r="B3" t="s">
        <v>182</v>
      </c>
      <c r="C3">
        <v>2</v>
      </c>
      <c r="D3">
        <v>17</v>
      </c>
      <c r="G3">
        <v>497.8</v>
      </c>
      <c r="H3" t="s">
        <v>218</v>
      </c>
      <c r="I3">
        <v>500</v>
      </c>
    </row>
    <row r="4" spans="1:9" x14ac:dyDescent="0.15">
      <c r="A4" s="8" t="s">
        <v>39</v>
      </c>
      <c r="B4">
        <v>1</v>
      </c>
      <c r="C4">
        <v>3</v>
      </c>
      <c r="D4">
        <v>18</v>
      </c>
      <c r="E4">
        <v>2</v>
      </c>
      <c r="F4" t="s">
        <v>185</v>
      </c>
      <c r="H4" s="39">
        <v>450</v>
      </c>
      <c r="I4" t="s">
        <v>220</v>
      </c>
    </row>
    <row r="5" spans="1:9" x14ac:dyDescent="0.15">
      <c r="A5" s="8" t="s">
        <v>44</v>
      </c>
      <c r="B5">
        <v>3</v>
      </c>
      <c r="C5">
        <v>4</v>
      </c>
      <c r="D5">
        <v>17</v>
      </c>
      <c r="E5">
        <v>4</v>
      </c>
      <c r="F5" t="s">
        <v>186</v>
      </c>
      <c r="H5" s="39">
        <v>450</v>
      </c>
      <c r="I5" t="s">
        <v>220</v>
      </c>
    </row>
    <row r="6" spans="1:9" x14ac:dyDescent="0.15">
      <c r="A6" s="8" t="s">
        <v>48</v>
      </c>
      <c r="B6">
        <v>5</v>
      </c>
      <c r="E6">
        <v>6</v>
      </c>
      <c r="F6" t="s">
        <v>187</v>
      </c>
      <c r="H6" t="s">
        <v>218</v>
      </c>
      <c r="I6" t="s">
        <v>187</v>
      </c>
    </row>
    <row r="7" spans="1:9" x14ac:dyDescent="0.15">
      <c r="A7" s="8" t="s">
        <v>57</v>
      </c>
      <c r="B7">
        <v>7</v>
      </c>
      <c r="E7">
        <v>8</v>
      </c>
      <c r="F7" t="s">
        <v>188</v>
      </c>
      <c r="H7" t="s">
        <v>218</v>
      </c>
      <c r="I7" t="s">
        <v>187</v>
      </c>
    </row>
    <row r="8" spans="1:9" x14ac:dyDescent="0.15">
      <c r="A8" s="8" t="s">
        <v>59</v>
      </c>
      <c r="B8" t="s">
        <v>182</v>
      </c>
      <c r="C8">
        <v>7</v>
      </c>
      <c r="D8">
        <v>10</v>
      </c>
      <c r="G8" t="s">
        <v>189</v>
      </c>
      <c r="H8" t="s">
        <v>218</v>
      </c>
      <c r="I8" t="s">
        <v>189</v>
      </c>
    </row>
    <row r="9" spans="1:9" x14ac:dyDescent="0.15">
      <c r="A9" s="8" t="s">
        <v>64</v>
      </c>
      <c r="B9" t="s">
        <v>182</v>
      </c>
      <c r="C9">
        <v>8</v>
      </c>
      <c r="D9">
        <v>9</v>
      </c>
      <c r="G9" t="s">
        <v>189</v>
      </c>
      <c r="H9" t="s">
        <v>218</v>
      </c>
      <c r="I9" t="s">
        <v>189</v>
      </c>
    </row>
    <row r="10" spans="1:9" x14ac:dyDescent="0.15">
      <c r="A10" s="8" t="s">
        <v>68</v>
      </c>
      <c r="B10" t="s">
        <v>182</v>
      </c>
      <c r="C10">
        <v>9</v>
      </c>
      <c r="D10">
        <v>8</v>
      </c>
      <c r="G10" t="s">
        <v>189</v>
      </c>
      <c r="H10" t="s">
        <v>218</v>
      </c>
      <c r="I10" t="s">
        <v>189</v>
      </c>
    </row>
    <row r="11" spans="1:9" x14ac:dyDescent="0.15">
      <c r="A11" s="37" t="s">
        <v>73</v>
      </c>
      <c r="B11" t="s">
        <v>182</v>
      </c>
      <c r="C11">
        <v>10</v>
      </c>
      <c r="D11">
        <v>7</v>
      </c>
      <c r="G11" t="s">
        <v>189</v>
      </c>
      <c r="H11" t="s">
        <v>218</v>
      </c>
      <c r="I11" t="s">
        <v>189</v>
      </c>
    </row>
    <row r="12" spans="1:9" x14ac:dyDescent="0.15">
      <c r="A12" s="8" t="s">
        <v>76</v>
      </c>
      <c r="B12">
        <v>13</v>
      </c>
      <c r="E12">
        <v>14</v>
      </c>
      <c r="F12" t="s">
        <v>189</v>
      </c>
      <c r="H12" t="s">
        <v>218</v>
      </c>
      <c r="I12" t="s">
        <v>221</v>
      </c>
    </row>
    <row r="13" spans="1:9" x14ac:dyDescent="0.15">
      <c r="A13" s="8" t="s">
        <v>81</v>
      </c>
      <c r="B13">
        <v>15</v>
      </c>
      <c r="E13">
        <v>16</v>
      </c>
      <c r="F13" t="s">
        <v>190</v>
      </c>
      <c r="H13" t="s">
        <v>218</v>
      </c>
      <c r="I13" t="s">
        <v>221</v>
      </c>
    </row>
    <row r="14" spans="1:9" x14ac:dyDescent="0.15">
      <c r="A14" s="8" t="s">
        <v>83</v>
      </c>
      <c r="B14">
        <v>16</v>
      </c>
      <c r="E14">
        <v>15</v>
      </c>
      <c r="F14" t="s">
        <v>190</v>
      </c>
      <c r="H14" t="s">
        <v>218</v>
      </c>
      <c r="I14" t="s">
        <v>221</v>
      </c>
    </row>
    <row r="15" spans="1:9" x14ac:dyDescent="0.15">
      <c r="A15" s="8" t="s">
        <v>85</v>
      </c>
      <c r="B15">
        <v>14</v>
      </c>
      <c r="E15">
        <v>13</v>
      </c>
      <c r="F15" t="s">
        <v>189</v>
      </c>
      <c r="H15" t="s">
        <v>218</v>
      </c>
      <c r="I15" t="s">
        <v>221</v>
      </c>
    </row>
    <row r="16" spans="1:9" x14ac:dyDescent="0.15">
      <c r="A16" s="8" t="s">
        <v>87</v>
      </c>
      <c r="B16">
        <v>8</v>
      </c>
      <c r="E16">
        <v>7</v>
      </c>
      <c r="F16" t="s">
        <v>188</v>
      </c>
      <c r="H16" t="s">
        <v>218</v>
      </c>
      <c r="I16" t="s">
        <v>187</v>
      </c>
    </row>
    <row r="17" spans="1:9" x14ac:dyDescent="0.15">
      <c r="A17" s="8" t="s">
        <v>89</v>
      </c>
      <c r="B17">
        <v>6</v>
      </c>
      <c r="E17">
        <v>5</v>
      </c>
      <c r="F17" t="s">
        <v>187</v>
      </c>
      <c r="H17" t="s">
        <v>218</v>
      </c>
      <c r="I17" t="s">
        <v>187</v>
      </c>
    </row>
    <row r="18" spans="1:9" x14ac:dyDescent="0.15">
      <c r="A18" s="8" t="s">
        <v>90</v>
      </c>
      <c r="B18">
        <v>2</v>
      </c>
      <c r="C18">
        <v>18</v>
      </c>
      <c r="E18">
        <v>1</v>
      </c>
      <c r="F18" t="s">
        <v>185</v>
      </c>
      <c r="H18" t="s">
        <v>218</v>
      </c>
    </row>
    <row r="19" spans="1:9" x14ac:dyDescent="0.15">
      <c r="A19" s="8" t="s">
        <v>93</v>
      </c>
      <c r="B19">
        <v>4</v>
      </c>
      <c r="C19">
        <v>17</v>
      </c>
      <c r="E19">
        <v>3</v>
      </c>
      <c r="F19" t="s">
        <v>186</v>
      </c>
      <c r="H19" t="s">
        <v>218</v>
      </c>
    </row>
    <row r="20" spans="1:9" x14ac:dyDescent="0.15">
      <c r="A20" s="8" t="s">
        <v>95</v>
      </c>
      <c r="B20">
        <v>9</v>
      </c>
      <c r="E20">
        <v>10</v>
      </c>
      <c r="F20">
        <v>89.6</v>
      </c>
      <c r="H20" t="s">
        <v>218</v>
      </c>
      <c r="I20">
        <v>89</v>
      </c>
    </row>
    <row r="21" spans="1:9" x14ac:dyDescent="0.15">
      <c r="A21" s="8" t="s">
        <v>95</v>
      </c>
      <c r="B21">
        <v>10</v>
      </c>
      <c r="E21">
        <v>9</v>
      </c>
      <c r="F21">
        <v>89.6</v>
      </c>
      <c r="H21" t="s">
        <v>218</v>
      </c>
      <c r="I21">
        <v>89</v>
      </c>
    </row>
    <row r="22" spans="1:9" x14ac:dyDescent="0.15">
      <c r="A22" s="8" t="s">
        <v>101</v>
      </c>
      <c r="B22">
        <v>11</v>
      </c>
      <c r="E22">
        <v>12</v>
      </c>
      <c r="F22">
        <v>550.70000000000005</v>
      </c>
      <c r="H22" t="s">
        <v>218</v>
      </c>
      <c r="I22">
        <v>550</v>
      </c>
    </row>
    <row r="23" spans="1:9" x14ac:dyDescent="0.15">
      <c r="A23" s="8" t="s">
        <v>101</v>
      </c>
      <c r="B23">
        <v>12</v>
      </c>
      <c r="E23">
        <v>11</v>
      </c>
      <c r="F23">
        <v>550.70000000000005</v>
      </c>
      <c r="H23" t="s">
        <v>218</v>
      </c>
      <c r="I23">
        <v>550</v>
      </c>
    </row>
    <row r="24" spans="1:9" x14ac:dyDescent="0.15">
      <c r="A24" s="8" t="s">
        <v>111</v>
      </c>
      <c r="B24">
        <v>17</v>
      </c>
      <c r="E24">
        <v>18</v>
      </c>
      <c r="F24">
        <v>579</v>
      </c>
      <c r="H24" t="s">
        <v>218</v>
      </c>
      <c r="I24">
        <v>578</v>
      </c>
    </row>
    <row r="25" spans="1:9" x14ac:dyDescent="0.15">
      <c r="A25" s="8" t="s">
        <v>111</v>
      </c>
      <c r="B25">
        <v>18</v>
      </c>
      <c r="E25">
        <v>17</v>
      </c>
      <c r="F25">
        <v>579</v>
      </c>
      <c r="H25" t="s">
        <v>218</v>
      </c>
      <c r="I25">
        <v>578</v>
      </c>
    </row>
    <row r="32" spans="1:9" x14ac:dyDescent="0.15">
      <c r="A32" t="s">
        <v>194</v>
      </c>
    </row>
    <row r="34" spans="1:1" x14ac:dyDescent="0.15">
      <c r="A34" t="s">
        <v>196</v>
      </c>
    </row>
    <row r="35" spans="1:1" x14ac:dyDescent="0.15">
      <c r="A35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9A92-1D07-4B5B-B919-30BB25A7799D}">
  <dimension ref="A1:B25"/>
  <sheetViews>
    <sheetView windowProtection="1" workbookViewId="0">
      <selection activeCell="A25" sqref="A25"/>
    </sheetView>
  </sheetViews>
  <sheetFormatPr baseColWidth="10" defaultColWidth="8.83203125" defaultRowHeight="13" x14ac:dyDescent="0.15"/>
  <cols>
    <col min="1" max="2" width="26.6640625" bestFit="1" customWidth="1"/>
    <col min="3" max="3" width="14.33203125" bestFit="1" customWidth="1"/>
  </cols>
  <sheetData>
    <row r="1" spans="1:2" x14ac:dyDescent="0.15">
      <c r="A1" s="38" t="s">
        <v>199</v>
      </c>
      <c r="B1" s="38" t="s">
        <v>198</v>
      </c>
    </row>
    <row r="2" spans="1:2" x14ac:dyDescent="0.15">
      <c r="A2">
        <v>1</v>
      </c>
      <c r="B2">
        <v>1</v>
      </c>
    </row>
    <row r="3" spans="1:2" x14ac:dyDescent="0.15">
      <c r="A3">
        <v>2</v>
      </c>
      <c r="B3">
        <v>14</v>
      </c>
    </row>
    <row r="4" spans="1:2" x14ac:dyDescent="0.15">
      <c r="A4">
        <v>3</v>
      </c>
      <c r="B4">
        <v>2</v>
      </c>
    </row>
    <row r="5" spans="1:2" x14ac:dyDescent="0.15">
      <c r="A5">
        <v>4</v>
      </c>
      <c r="B5">
        <v>15</v>
      </c>
    </row>
    <row r="6" spans="1:2" x14ac:dyDescent="0.15">
      <c r="A6">
        <v>5</v>
      </c>
      <c r="B6">
        <v>3</v>
      </c>
    </row>
    <row r="7" spans="1:2" x14ac:dyDescent="0.15">
      <c r="A7">
        <v>6</v>
      </c>
      <c r="B7">
        <v>16</v>
      </c>
    </row>
    <row r="8" spans="1:2" x14ac:dyDescent="0.15">
      <c r="A8">
        <v>7</v>
      </c>
      <c r="B8">
        <v>4</v>
      </c>
    </row>
    <row r="9" spans="1:2" x14ac:dyDescent="0.15">
      <c r="A9">
        <v>8</v>
      </c>
      <c r="B9">
        <v>17</v>
      </c>
    </row>
    <row r="10" spans="1:2" x14ac:dyDescent="0.15">
      <c r="A10">
        <v>9</v>
      </c>
      <c r="B10">
        <v>5</v>
      </c>
    </row>
    <row r="11" spans="1:2" x14ac:dyDescent="0.15">
      <c r="A11">
        <v>10</v>
      </c>
      <c r="B11">
        <v>18</v>
      </c>
    </row>
    <row r="12" spans="1:2" x14ac:dyDescent="0.15">
      <c r="A12">
        <v>11</v>
      </c>
      <c r="B12">
        <v>6</v>
      </c>
    </row>
    <row r="13" spans="1:2" x14ac:dyDescent="0.15">
      <c r="A13">
        <v>12</v>
      </c>
      <c r="B13">
        <v>19</v>
      </c>
    </row>
    <row r="14" spans="1:2" x14ac:dyDescent="0.15">
      <c r="A14">
        <v>13</v>
      </c>
      <c r="B14">
        <v>7</v>
      </c>
    </row>
    <row r="15" spans="1:2" x14ac:dyDescent="0.15">
      <c r="A15">
        <v>14</v>
      </c>
      <c r="B15">
        <v>20</v>
      </c>
    </row>
    <row r="16" spans="1:2" x14ac:dyDescent="0.15">
      <c r="A16">
        <v>15</v>
      </c>
      <c r="B16">
        <v>8</v>
      </c>
    </row>
    <row r="17" spans="1:2" x14ac:dyDescent="0.15">
      <c r="A17">
        <v>16</v>
      </c>
      <c r="B17">
        <v>21</v>
      </c>
    </row>
    <row r="18" spans="1:2" x14ac:dyDescent="0.15">
      <c r="A18">
        <v>17</v>
      </c>
      <c r="B18">
        <v>9</v>
      </c>
    </row>
    <row r="19" spans="1:2" x14ac:dyDescent="0.15">
      <c r="A19">
        <v>18</v>
      </c>
      <c r="B19">
        <v>22</v>
      </c>
    </row>
    <row r="20" spans="1:2" x14ac:dyDescent="0.15">
      <c r="A20">
        <v>19</v>
      </c>
      <c r="B20">
        <v>10</v>
      </c>
    </row>
    <row r="21" spans="1:2" x14ac:dyDescent="0.15">
      <c r="A21">
        <v>20</v>
      </c>
      <c r="B21">
        <v>23</v>
      </c>
    </row>
    <row r="22" spans="1:2" x14ac:dyDescent="0.15">
      <c r="A22">
        <v>21</v>
      </c>
      <c r="B22">
        <v>11</v>
      </c>
    </row>
    <row r="23" spans="1:2" s="39" customFormat="1" x14ac:dyDescent="0.15">
      <c r="A23" s="39">
        <v>22</v>
      </c>
      <c r="B23" s="39">
        <v>25</v>
      </c>
    </row>
    <row r="24" spans="1:2" x14ac:dyDescent="0.15">
      <c r="A24">
        <v>23</v>
      </c>
      <c r="B24">
        <v>12</v>
      </c>
    </row>
    <row r="25" spans="1:2" s="39" customFormat="1" x14ac:dyDescent="0.15">
      <c r="A25" s="39">
        <v>24</v>
      </c>
      <c r="B25" s="39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31B8-6262-4970-91C9-3AE3622A2DA4}">
  <sheetPr>
    <pageSetUpPr fitToPage="1"/>
  </sheetPr>
  <dimension ref="A1:AMK74"/>
  <sheetViews>
    <sheetView windowProtection="1" zoomScale="89" zoomScaleNormal="120" workbookViewId="0">
      <pane xSplit="1" topLeftCell="B1" activePane="topRight" state="frozen"/>
      <selection activeCell="A31" sqref="A31"/>
      <selection pane="topRight" activeCell="N4" sqref="N4:N5"/>
    </sheetView>
  </sheetViews>
  <sheetFormatPr baseColWidth="10" defaultColWidth="8.83203125" defaultRowHeight="13" x14ac:dyDescent="0.15"/>
  <cols>
    <col min="1" max="1" width="29.1640625" style="9" bestFit="1" customWidth="1"/>
    <col min="2" max="2" width="4.1640625" style="10" bestFit="1" customWidth="1"/>
    <col min="3" max="3" width="7.33203125" style="10" bestFit="1" customWidth="1"/>
    <col min="4" max="4" width="30.1640625" style="10" bestFit="1" customWidth="1"/>
    <col min="5" max="5" width="5.5" style="10" bestFit="1" customWidth="1"/>
    <col min="6" max="6" width="27.6640625" style="10" bestFit="1" customWidth="1"/>
    <col min="7" max="7" width="16.1640625" style="10" bestFit="1" customWidth="1"/>
    <col min="8" max="8" width="9.83203125" style="10" bestFit="1" customWidth="1"/>
    <col min="9" max="9" width="10.83203125" style="10" bestFit="1" customWidth="1"/>
    <col min="10" max="10" width="11.33203125" style="10" bestFit="1" customWidth="1"/>
    <col min="11" max="11" width="29.5" style="10" bestFit="1" customWidth="1"/>
    <col min="12" max="12" width="23.1640625" style="10" bestFit="1" customWidth="1"/>
    <col min="13" max="13" width="32" style="10" bestFit="1" customWidth="1"/>
    <col min="14" max="14" width="59.5" style="10" bestFit="1" customWidth="1"/>
    <col min="15" max="15" width="104.5" style="10" bestFit="1" customWidth="1"/>
    <col min="16" max="16" width="21.33203125" style="10" bestFit="1" customWidth="1"/>
    <col min="17" max="17" width="31.1640625" style="10" bestFit="1" customWidth="1"/>
    <col min="18" max="18" width="10.6640625" style="10" bestFit="1" customWidth="1"/>
    <col min="19" max="1025" width="8.83203125" style="10"/>
  </cols>
  <sheetData>
    <row r="1" spans="1:1024" s="10" customFormat="1" x14ac:dyDescent="0.15">
      <c r="A1" s="40" t="s">
        <v>201</v>
      </c>
    </row>
    <row r="2" spans="1:1024" x14ac:dyDescent="0.15">
      <c r="A2" s="54" t="s">
        <v>0</v>
      </c>
      <c r="B2" s="54"/>
      <c r="C2" s="54" t="s">
        <v>1</v>
      </c>
      <c r="D2" s="54"/>
      <c r="E2" s="54"/>
      <c r="F2" s="54"/>
      <c r="G2" s="54"/>
      <c r="H2" s="54" t="s">
        <v>2</v>
      </c>
      <c r="I2" s="54"/>
      <c r="J2" s="54"/>
      <c r="K2" s="54"/>
      <c r="L2" s="54"/>
      <c r="M2" s="55" t="s">
        <v>3</v>
      </c>
      <c r="N2" s="54" t="s">
        <v>4</v>
      </c>
      <c r="O2" s="54" t="s">
        <v>5</v>
      </c>
      <c r="P2" s="54" t="s">
        <v>6</v>
      </c>
      <c r="Q2" s="54"/>
      <c r="R2" s="54"/>
    </row>
    <row r="3" spans="1:1024" ht="44" x14ac:dyDescent="0.15">
      <c r="A3" s="54"/>
      <c r="B3" s="54"/>
      <c r="C3" s="7" t="s">
        <v>7</v>
      </c>
      <c r="D3" s="56" t="s">
        <v>8</v>
      </c>
      <c r="E3" s="56" t="s">
        <v>9</v>
      </c>
      <c r="F3" s="56" t="s">
        <v>10</v>
      </c>
      <c r="G3" s="56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55"/>
      <c r="N3" s="55"/>
      <c r="O3" s="55"/>
      <c r="P3" s="7" t="s">
        <v>0</v>
      </c>
      <c r="Q3" s="56" t="s">
        <v>17</v>
      </c>
      <c r="R3" s="56" t="s">
        <v>18</v>
      </c>
    </row>
    <row r="4" spans="1:1024" s="10" customFormat="1" ht="15.5" customHeight="1" x14ac:dyDescent="0.15">
      <c r="A4" s="8" t="s">
        <v>19</v>
      </c>
      <c r="B4" s="58" t="s">
        <v>20</v>
      </c>
      <c r="C4" s="8">
        <v>1</v>
      </c>
      <c r="D4" s="8" t="s">
        <v>21</v>
      </c>
      <c r="E4" s="8" t="s">
        <v>22</v>
      </c>
      <c r="F4" s="8" t="s">
        <v>23</v>
      </c>
      <c r="G4" s="8" t="s">
        <v>24</v>
      </c>
      <c r="H4" s="8" t="s">
        <v>22</v>
      </c>
      <c r="I4" s="8" t="s">
        <v>25</v>
      </c>
      <c r="J4" s="6" t="s">
        <v>211</v>
      </c>
      <c r="K4" s="8" t="s">
        <v>27</v>
      </c>
      <c r="L4" s="8" t="s">
        <v>28</v>
      </c>
      <c r="M4" s="8" t="s">
        <v>29</v>
      </c>
      <c r="N4" s="54" t="s">
        <v>30</v>
      </c>
      <c r="O4" s="56" t="s">
        <v>31</v>
      </c>
      <c r="P4" s="54" t="s">
        <v>32</v>
      </c>
      <c r="Q4" s="54" t="s">
        <v>33</v>
      </c>
      <c r="R4" s="54" t="s">
        <v>33</v>
      </c>
      <c r="AMJ4"/>
    </row>
    <row r="5" spans="1:1024" s="10" customFormat="1" ht="15" x14ac:dyDescent="0.15">
      <c r="A5" s="8" t="s">
        <v>34</v>
      </c>
      <c r="B5" s="58"/>
      <c r="C5" s="8">
        <f t="shared" ref="C5:C12" si="0">C4+1</f>
        <v>2</v>
      </c>
      <c r="D5" s="8" t="s">
        <v>21</v>
      </c>
      <c r="E5" s="8" t="s">
        <v>35</v>
      </c>
      <c r="F5" s="8" t="s">
        <v>23</v>
      </c>
      <c r="G5" s="8" t="s">
        <v>36</v>
      </c>
      <c r="H5" s="8" t="s">
        <v>37</v>
      </c>
      <c r="I5" s="8" t="s">
        <v>38</v>
      </c>
      <c r="J5" s="6" t="s">
        <v>211</v>
      </c>
      <c r="K5" s="8" t="s">
        <v>27</v>
      </c>
      <c r="L5" s="8" t="s">
        <v>28</v>
      </c>
      <c r="M5" s="8" t="s">
        <v>29</v>
      </c>
      <c r="N5" s="54" t="s">
        <v>30</v>
      </c>
      <c r="O5" s="56"/>
      <c r="P5" s="54" t="s">
        <v>32</v>
      </c>
      <c r="Q5" s="54" t="s">
        <v>33</v>
      </c>
      <c r="R5" s="54" t="s">
        <v>33</v>
      </c>
      <c r="AMJ5"/>
    </row>
    <row r="6" spans="1:1024" ht="15.5" customHeight="1" x14ac:dyDescent="0.15">
      <c r="A6" s="8" t="s">
        <v>39</v>
      </c>
      <c r="B6" s="58"/>
      <c r="C6" s="8">
        <f t="shared" si="0"/>
        <v>3</v>
      </c>
      <c r="D6" s="8" t="s">
        <v>21</v>
      </c>
      <c r="E6" s="8" t="s">
        <v>40</v>
      </c>
      <c r="F6" s="8" t="s">
        <v>41</v>
      </c>
      <c r="G6" s="8" t="s">
        <v>24</v>
      </c>
      <c r="H6" s="8" t="s">
        <v>35</v>
      </c>
      <c r="I6" s="8" t="s">
        <v>25</v>
      </c>
      <c r="J6" s="8" t="s">
        <v>42</v>
      </c>
      <c r="K6" s="8" t="s">
        <v>27</v>
      </c>
      <c r="L6" s="8" t="s">
        <v>28</v>
      </c>
      <c r="M6" s="8" t="s">
        <v>43</v>
      </c>
      <c r="N6" s="8"/>
      <c r="O6" s="8"/>
      <c r="P6" s="8" t="s">
        <v>39</v>
      </c>
      <c r="Q6" s="8" t="s">
        <v>21</v>
      </c>
      <c r="R6" s="8" t="s">
        <v>40</v>
      </c>
      <c r="AMJ6"/>
    </row>
    <row r="7" spans="1:1024" ht="15" x14ac:dyDescent="0.15">
      <c r="A7" s="8" t="s">
        <v>44</v>
      </c>
      <c r="B7" s="58"/>
      <c r="C7" s="8">
        <f t="shared" si="0"/>
        <v>4</v>
      </c>
      <c r="D7" s="8" t="s">
        <v>21</v>
      </c>
      <c r="E7" s="8" t="s">
        <v>45</v>
      </c>
      <c r="F7" s="8" t="s">
        <v>41</v>
      </c>
      <c r="G7" s="8" t="s">
        <v>36</v>
      </c>
      <c r="H7" s="8" t="s">
        <v>46</v>
      </c>
      <c r="I7" s="8" t="s">
        <v>47</v>
      </c>
      <c r="J7" s="8" t="s">
        <v>42</v>
      </c>
      <c r="K7" s="8" t="s">
        <v>27</v>
      </c>
      <c r="L7" s="8" t="s">
        <v>28</v>
      </c>
      <c r="M7" s="8" t="s">
        <v>43</v>
      </c>
      <c r="N7" s="8"/>
      <c r="O7" s="8"/>
      <c r="P7" s="8" t="s">
        <v>44</v>
      </c>
      <c r="Q7" s="8" t="s">
        <v>21</v>
      </c>
      <c r="R7" s="8" t="s">
        <v>45</v>
      </c>
      <c r="AMJ7"/>
    </row>
    <row r="8" spans="1:1024" x14ac:dyDescent="0.15">
      <c r="A8" s="8" t="s">
        <v>48</v>
      </c>
      <c r="B8" s="58"/>
      <c r="C8" s="8">
        <f t="shared" si="0"/>
        <v>5</v>
      </c>
      <c r="D8" s="8" t="s">
        <v>49</v>
      </c>
      <c r="E8" s="8" t="s">
        <v>22</v>
      </c>
      <c r="F8" s="6" t="s">
        <v>50</v>
      </c>
      <c r="G8" s="8" t="s">
        <v>33</v>
      </c>
      <c r="H8" s="8">
        <v>3</v>
      </c>
      <c r="I8" s="8" t="s">
        <v>47</v>
      </c>
      <c r="J8" s="8" t="s">
        <v>51</v>
      </c>
      <c r="K8" s="8" t="s">
        <v>27</v>
      </c>
      <c r="L8" s="8" t="s">
        <v>52</v>
      </c>
      <c r="M8" s="8" t="s">
        <v>53</v>
      </c>
      <c r="N8" s="54" t="s">
        <v>54</v>
      </c>
      <c r="O8" s="56" t="s">
        <v>55</v>
      </c>
      <c r="P8" s="8" t="s">
        <v>48</v>
      </c>
      <c r="Q8" s="8" t="s">
        <v>56</v>
      </c>
      <c r="R8" s="5" t="s">
        <v>22</v>
      </c>
      <c r="AMJ8"/>
    </row>
    <row r="9" spans="1:1024" x14ac:dyDescent="0.15">
      <c r="A9" s="8" t="s">
        <v>57</v>
      </c>
      <c r="B9" s="58"/>
      <c r="C9" s="8">
        <f t="shared" si="0"/>
        <v>6</v>
      </c>
      <c r="D9" s="8" t="s">
        <v>49</v>
      </c>
      <c r="E9" s="8" t="s">
        <v>35</v>
      </c>
      <c r="F9" s="6" t="s">
        <v>50</v>
      </c>
      <c r="G9" s="8" t="s">
        <v>33</v>
      </c>
      <c r="H9" s="8">
        <v>16</v>
      </c>
      <c r="I9" s="8" t="s">
        <v>47</v>
      </c>
      <c r="J9" s="8" t="s">
        <v>51</v>
      </c>
      <c r="K9" s="8" t="s">
        <v>27</v>
      </c>
      <c r="L9" s="8" t="s">
        <v>52</v>
      </c>
      <c r="M9" s="8" t="s">
        <v>53</v>
      </c>
      <c r="N9" s="54" t="s">
        <v>54</v>
      </c>
      <c r="O9" s="56" t="s">
        <v>58</v>
      </c>
      <c r="P9" s="8" t="s">
        <v>57</v>
      </c>
      <c r="Q9" s="8" t="s">
        <v>56</v>
      </c>
      <c r="R9" s="5" t="s">
        <v>45</v>
      </c>
      <c r="AMJ9"/>
    </row>
    <row r="10" spans="1:1024" ht="13.25" customHeight="1" x14ac:dyDescent="0.15">
      <c r="A10" s="8" t="s">
        <v>59</v>
      </c>
      <c r="B10" s="58"/>
      <c r="C10" s="8">
        <f t="shared" si="0"/>
        <v>7</v>
      </c>
      <c r="D10" s="8" t="s">
        <v>49</v>
      </c>
      <c r="E10" s="8" t="s">
        <v>60</v>
      </c>
      <c r="F10" s="8" t="s">
        <v>50</v>
      </c>
      <c r="G10" s="8" t="s">
        <v>33</v>
      </c>
      <c r="H10" s="8">
        <v>4</v>
      </c>
      <c r="I10" s="8" t="s">
        <v>47</v>
      </c>
      <c r="J10" s="6" t="s">
        <v>61</v>
      </c>
      <c r="K10" s="8" t="s">
        <v>27</v>
      </c>
      <c r="L10" s="8" t="s">
        <v>52</v>
      </c>
      <c r="M10" s="8" t="s">
        <v>62</v>
      </c>
      <c r="N10" s="56" t="s">
        <v>63</v>
      </c>
      <c r="O10" s="56" t="s">
        <v>33</v>
      </c>
      <c r="P10" s="8" t="s">
        <v>33</v>
      </c>
      <c r="Q10" s="8" t="s">
        <v>33</v>
      </c>
      <c r="R10" s="5" t="s">
        <v>33</v>
      </c>
      <c r="AMJ10"/>
    </row>
    <row r="11" spans="1:1024" x14ac:dyDescent="0.15">
      <c r="A11" s="8" t="s">
        <v>64</v>
      </c>
      <c r="B11" s="58"/>
      <c r="C11" s="8">
        <f t="shared" si="0"/>
        <v>8</v>
      </c>
      <c r="D11" s="8" t="s">
        <v>49</v>
      </c>
      <c r="E11" s="8" t="s">
        <v>65</v>
      </c>
      <c r="F11" s="8" t="s">
        <v>50</v>
      </c>
      <c r="G11" s="8" t="s">
        <v>33</v>
      </c>
      <c r="H11" s="8">
        <v>17</v>
      </c>
      <c r="I11" s="8" t="s">
        <v>66</v>
      </c>
      <c r="J11" s="6" t="s">
        <v>61</v>
      </c>
      <c r="K11" s="8" t="s">
        <v>27</v>
      </c>
      <c r="L11" s="8" t="s">
        <v>52</v>
      </c>
      <c r="M11" s="8" t="s">
        <v>62</v>
      </c>
      <c r="N11" s="56"/>
      <c r="O11" s="56" t="s">
        <v>67</v>
      </c>
      <c r="P11" s="8" t="s">
        <v>33</v>
      </c>
      <c r="Q11" s="8" t="s">
        <v>33</v>
      </c>
      <c r="R11" s="5" t="s">
        <v>33</v>
      </c>
      <c r="AMJ11"/>
    </row>
    <row r="12" spans="1:1024" x14ac:dyDescent="0.15">
      <c r="A12" s="54" t="s">
        <v>68</v>
      </c>
      <c r="B12" s="58"/>
      <c r="C12" s="54">
        <f t="shared" si="0"/>
        <v>9</v>
      </c>
      <c r="D12" s="8" t="s">
        <v>49</v>
      </c>
      <c r="E12" s="8" t="s">
        <v>69</v>
      </c>
      <c r="F12" s="8" t="s">
        <v>50</v>
      </c>
      <c r="G12" s="8" t="s">
        <v>33</v>
      </c>
      <c r="H12" s="54">
        <v>5</v>
      </c>
      <c r="I12" s="54" t="s">
        <v>70</v>
      </c>
      <c r="J12" s="57" t="s">
        <v>61</v>
      </c>
      <c r="K12" s="54" t="s">
        <v>27</v>
      </c>
      <c r="L12" s="54" t="s">
        <v>52</v>
      </c>
      <c r="M12" s="54" t="s">
        <v>62</v>
      </c>
      <c r="N12" s="56"/>
      <c r="O12" s="56" t="s">
        <v>67</v>
      </c>
      <c r="P12" s="54" t="s">
        <v>33</v>
      </c>
      <c r="Q12" s="54" t="s">
        <v>33</v>
      </c>
      <c r="R12" s="59" t="s">
        <v>33</v>
      </c>
      <c r="AMJ12"/>
    </row>
    <row r="13" spans="1:1024" x14ac:dyDescent="0.15">
      <c r="A13" s="54"/>
      <c r="B13" s="54"/>
      <c r="C13" s="54"/>
      <c r="D13" s="8" t="s">
        <v>21</v>
      </c>
      <c r="E13" s="8" t="s">
        <v>71</v>
      </c>
      <c r="F13" s="8" t="s">
        <v>72</v>
      </c>
      <c r="G13" s="8" t="s">
        <v>33</v>
      </c>
      <c r="H13" s="54"/>
      <c r="I13" s="54"/>
      <c r="J13" s="57"/>
      <c r="K13" s="54"/>
      <c r="L13" s="54" t="s">
        <v>52</v>
      </c>
      <c r="M13" s="54"/>
      <c r="N13" s="56"/>
      <c r="O13" s="56"/>
      <c r="P13" s="54"/>
      <c r="Q13" s="54"/>
      <c r="R13" s="59"/>
      <c r="AMJ13"/>
    </row>
    <row r="14" spans="1:1024" x14ac:dyDescent="0.15">
      <c r="A14" s="54" t="s">
        <v>73</v>
      </c>
      <c r="B14" s="58"/>
      <c r="C14" s="54">
        <f>C12+1</f>
        <v>10</v>
      </c>
      <c r="D14" s="8" t="s">
        <v>49</v>
      </c>
      <c r="E14" s="8" t="s">
        <v>74</v>
      </c>
      <c r="F14" s="8" t="s">
        <v>50</v>
      </c>
      <c r="G14" s="8" t="s">
        <v>33</v>
      </c>
      <c r="H14" s="54">
        <v>18</v>
      </c>
      <c r="I14" s="54" t="s">
        <v>38</v>
      </c>
      <c r="J14" s="57" t="s">
        <v>61</v>
      </c>
      <c r="K14" s="54" t="s">
        <v>27</v>
      </c>
      <c r="L14" s="54" t="s">
        <v>52</v>
      </c>
      <c r="M14" s="54" t="s">
        <v>62</v>
      </c>
      <c r="N14" s="56"/>
      <c r="O14" s="56" t="s">
        <v>67</v>
      </c>
      <c r="P14" s="54" t="s">
        <v>33</v>
      </c>
      <c r="Q14" s="54" t="s">
        <v>33</v>
      </c>
      <c r="R14" s="59" t="s">
        <v>33</v>
      </c>
      <c r="AMJ14"/>
    </row>
    <row r="15" spans="1:1024" x14ac:dyDescent="0.15">
      <c r="A15" s="54"/>
      <c r="B15" s="54"/>
      <c r="C15" s="54"/>
      <c r="D15" s="8" t="s">
        <v>21</v>
      </c>
      <c r="E15" s="8" t="s">
        <v>75</v>
      </c>
      <c r="F15" s="8" t="s">
        <v>72</v>
      </c>
      <c r="G15" s="8" t="s">
        <v>33</v>
      </c>
      <c r="H15" s="54"/>
      <c r="I15" s="54"/>
      <c r="J15" s="57"/>
      <c r="K15" s="54"/>
      <c r="L15" s="54" t="s">
        <v>52</v>
      </c>
      <c r="M15" s="54"/>
      <c r="N15" s="56"/>
      <c r="O15" s="56"/>
      <c r="P15" s="54"/>
      <c r="Q15" s="54"/>
      <c r="R15" s="59"/>
      <c r="AMJ15"/>
    </row>
    <row r="16" spans="1:1024" x14ac:dyDescent="0.15">
      <c r="A16" s="8" t="s">
        <v>76</v>
      </c>
      <c r="B16" s="58"/>
      <c r="C16" s="8">
        <f>C14+1</f>
        <v>11</v>
      </c>
      <c r="D16" s="8" t="s">
        <v>77</v>
      </c>
      <c r="E16" s="8" t="s">
        <v>45</v>
      </c>
      <c r="F16" s="8" t="s">
        <v>77</v>
      </c>
      <c r="G16" s="8" t="s">
        <v>45</v>
      </c>
      <c r="H16" s="8">
        <v>6</v>
      </c>
      <c r="I16" s="8" t="s">
        <v>47</v>
      </c>
      <c r="J16" s="8" t="s">
        <v>42</v>
      </c>
      <c r="K16" s="8" t="s">
        <v>78</v>
      </c>
      <c r="L16" s="8" t="s">
        <v>52</v>
      </c>
      <c r="M16" s="8" t="s">
        <v>79</v>
      </c>
      <c r="N16" s="54" t="s">
        <v>80</v>
      </c>
      <c r="O16" s="8"/>
      <c r="P16" s="8" t="s">
        <v>76</v>
      </c>
      <c r="Q16" s="8" t="s">
        <v>77</v>
      </c>
      <c r="R16" s="5" t="s">
        <v>45</v>
      </c>
      <c r="AMJ16"/>
    </row>
    <row r="17" spans="1:1024" x14ac:dyDescent="0.15">
      <c r="A17" s="8" t="s">
        <v>81</v>
      </c>
      <c r="B17" s="58"/>
      <c r="C17" s="8">
        <f t="shared" ref="C17:C29" si="1">C16+1</f>
        <v>12</v>
      </c>
      <c r="D17" s="8" t="s">
        <v>77</v>
      </c>
      <c r="E17" s="8" t="s">
        <v>35</v>
      </c>
      <c r="F17" s="8" t="s">
        <v>77</v>
      </c>
      <c r="G17" s="8" t="s">
        <v>35</v>
      </c>
      <c r="H17" s="8" t="s">
        <v>82</v>
      </c>
      <c r="I17" s="8" t="s">
        <v>70</v>
      </c>
      <c r="J17" s="8" t="s">
        <v>42</v>
      </c>
      <c r="K17" s="8" t="s">
        <v>78</v>
      </c>
      <c r="L17" s="8" t="s">
        <v>52</v>
      </c>
      <c r="M17" s="8" t="s">
        <v>79</v>
      </c>
      <c r="N17" s="54" t="s">
        <v>80</v>
      </c>
      <c r="O17" s="8"/>
      <c r="P17" s="8" t="s">
        <v>81</v>
      </c>
      <c r="Q17" s="8" t="s">
        <v>77</v>
      </c>
      <c r="R17" s="5" t="s">
        <v>35</v>
      </c>
      <c r="AMJ17"/>
    </row>
    <row r="18" spans="1:1024" x14ac:dyDescent="0.15">
      <c r="A18" s="8" t="s">
        <v>83</v>
      </c>
      <c r="B18" s="58"/>
      <c r="C18" s="8">
        <f t="shared" si="1"/>
        <v>13</v>
      </c>
      <c r="D18" s="8" t="s">
        <v>77</v>
      </c>
      <c r="E18" s="8" t="s">
        <v>22</v>
      </c>
      <c r="F18" s="8" t="s">
        <v>77</v>
      </c>
      <c r="G18" s="8" t="s">
        <v>22</v>
      </c>
      <c r="H18" s="8" t="s">
        <v>84</v>
      </c>
      <c r="I18" s="8" t="s">
        <v>70</v>
      </c>
      <c r="J18" s="8" t="s">
        <v>42</v>
      </c>
      <c r="K18" s="8" t="s">
        <v>78</v>
      </c>
      <c r="L18" s="8" t="s">
        <v>52</v>
      </c>
      <c r="M18" s="8" t="s">
        <v>79</v>
      </c>
      <c r="N18" s="54" t="s">
        <v>80</v>
      </c>
      <c r="O18" s="8"/>
      <c r="P18" s="8" t="s">
        <v>83</v>
      </c>
      <c r="Q18" s="8" t="s">
        <v>77</v>
      </c>
      <c r="R18" s="5" t="s">
        <v>22</v>
      </c>
      <c r="AMJ18"/>
    </row>
    <row r="19" spans="1:1024" x14ac:dyDescent="0.15">
      <c r="A19" s="8" t="s">
        <v>85</v>
      </c>
      <c r="B19" s="58"/>
      <c r="C19" s="8">
        <f t="shared" si="1"/>
        <v>14</v>
      </c>
      <c r="D19" s="8" t="s">
        <v>77</v>
      </c>
      <c r="E19" s="8" t="s">
        <v>60</v>
      </c>
      <c r="F19" s="8" t="s">
        <v>77</v>
      </c>
      <c r="G19" s="8" t="s">
        <v>60</v>
      </c>
      <c r="H19" s="8">
        <v>7</v>
      </c>
      <c r="I19" s="8" t="s">
        <v>86</v>
      </c>
      <c r="J19" s="8" t="s">
        <v>42</v>
      </c>
      <c r="K19" s="8" t="s">
        <v>78</v>
      </c>
      <c r="L19" s="8" t="s">
        <v>52</v>
      </c>
      <c r="M19" s="8" t="s">
        <v>79</v>
      </c>
      <c r="N19" s="54" t="s">
        <v>80</v>
      </c>
      <c r="O19" s="8"/>
      <c r="P19" s="8" t="s">
        <v>85</v>
      </c>
      <c r="Q19" s="8" t="s">
        <v>77</v>
      </c>
      <c r="R19" s="5" t="s">
        <v>60</v>
      </c>
      <c r="AMJ19"/>
    </row>
    <row r="20" spans="1:1024" x14ac:dyDescent="0.15">
      <c r="A20" s="8" t="s">
        <v>87</v>
      </c>
      <c r="B20" s="58"/>
      <c r="C20" s="8">
        <f t="shared" si="1"/>
        <v>15</v>
      </c>
      <c r="D20" s="8" t="s">
        <v>49</v>
      </c>
      <c r="E20" s="8" t="s">
        <v>40</v>
      </c>
      <c r="F20" s="6" t="s">
        <v>50</v>
      </c>
      <c r="G20" s="8" t="s">
        <v>33</v>
      </c>
      <c r="H20" s="8">
        <v>8</v>
      </c>
      <c r="I20" s="8" t="s">
        <v>47</v>
      </c>
      <c r="J20" s="8" t="s">
        <v>88</v>
      </c>
      <c r="K20" s="8" t="s">
        <v>27</v>
      </c>
      <c r="L20" s="8" t="s">
        <v>52</v>
      </c>
      <c r="M20" s="8" t="s">
        <v>53</v>
      </c>
      <c r="N20" s="54" t="s">
        <v>54</v>
      </c>
      <c r="O20" s="56" t="s">
        <v>55</v>
      </c>
      <c r="P20" s="8" t="s">
        <v>87</v>
      </c>
      <c r="Q20" s="8" t="s">
        <v>56</v>
      </c>
      <c r="R20" s="5" t="s">
        <v>60</v>
      </c>
      <c r="AMJ20"/>
    </row>
    <row r="21" spans="1:1024" x14ac:dyDescent="0.15">
      <c r="A21" s="8" t="s">
        <v>89</v>
      </c>
      <c r="B21" s="58"/>
      <c r="C21" s="8">
        <f t="shared" si="1"/>
        <v>16</v>
      </c>
      <c r="D21" s="8" t="s">
        <v>49</v>
      </c>
      <c r="E21" s="8" t="s">
        <v>45</v>
      </c>
      <c r="F21" s="6" t="s">
        <v>50</v>
      </c>
      <c r="G21" s="8" t="s">
        <v>33</v>
      </c>
      <c r="H21" s="8">
        <v>21</v>
      </c>
      <c r="I21" s="8" t="s">
        <v>66</v>
      </c>
      <c r="J21" s="8" t="s">
        <v>88</v>
      </c>
      <c r="K21" s="8" t="s">
        <v>27</v>
      </c>
      <c r="L21" s="8" t="s">
        <v>52</v>
      </c>
      <c r="M21" s="8" t="s">
        <v>53</v>
      </c>
      <c r="N21" s="54" t="s">
        <v>58</v>
      </c>
      <c r="O21" s="56" t="s">
        <v>58</v>
      </c>
      <c r="P21" s="8" t="s">
        <v>89</v>
      </c>
      <c r="Q21" s="8" t="s">
        <v>56</v>
      </c>
      <c r="R21" s="5" t="s">
        <v>35</v>
      </c>
      <c r="AMJ21"/>
    </row>
    <row r="22" spans="1:1024" x14ac:dyDescent="0.15">
      <c r="A22" s="8" t="s">
        <v>90</v>
      </c>
      <c r="B22" s="58"/>
      <c r="C22" s="8">
        <f t="shared" si="1"/>
        <v>17</v>
      </c>
      <c r="D22" s="8" t="s">
        <v>21</v>
      </c>
      <c r="E22" s="8" t="s">
        <v>91</v>
      </c>
      <c r="F22" s="8" t="s">
        <v>72</v>
      </c>
      <c r="G22" s="8" t="s">
        <v>33</v>
      </c>
      <c r="H22" s="8">
        <v>9</v>
      </c>
      <c r="I22" s="8" t="s">
        <v>47</v>
      </c>
      <c r="J22" s="8" t="s">
        <v>27</v>
      </c>
      <c r="K22" s="8" t="s">
        <v>27</v>
      </c>
      <c r="L22" s="8" t="s">
        <v>52</v>
      </c>
      <c r="M22" s="8" t="s">
        <v>33</v>
      </c>
      <c r="N22" s="54" t="s">
        <v>92</v>
      </c>
      <c r="O22" s="8"/>
      <c r="P22" s="8" t="s">
        <v>90</v>
      </c>
      <c r="Q22" s="8" t="s">
        <v>21</v>
      </c>
      <c r="R22" s="5" t="s">
        <v>91</v>
      </c>
      <c r="AMJ22"/>
    </row>
    <row r="23" spans="1:1024" x14ac:dyDescent="0.15">
      <c r="A23" s="8" t="s">
        <v>93</v>
      </c>
      <c r="B23" s="58"/>
      <c r="C23" s="8">
        <f t="shared" si="1"/>
        <v>18</v>
      </c>
      <c r="D23" s="8" t="s">
        <v>21</v>
      </c>
      <c r="E23" s="8" t="s">
        <v>94</v>
      </c>
      <c r="F23" s="8" t="s">
        <v>72</v>
      </c>
      <c r="G23" s="8" t="s">
        <v>33</v>
      </c>
      <c r="H23" s="8">
        <v>22</v>
      </c>
      <c r="I23" s="8" t="s">
        <v>66</v>
      </c>
      <c r="J23" s="8" t="s">
        <v>27</v>
      </c>
      <c r="K23" s="8" t="s">
        <v>27</v>
      </c>
      <c r="L23" s="8" t="s">
        <v>52</v>
      </c>
      <c r="M23" s="8" t="s">
        <v>33</v>
      </c>
      <c r="N23" s="54" t="s">
        <v>92</v>
      </c>
      <c r="O23" s="8"/>
      <c r="P23" s="8" t="s">
        <v>93</v>
      </c>
      <c r="Q23" s="8" t="s">
        <v>21</v>
      </c>
      <c r="R23" s="5" t="s">
        <v>94</v>
      </c>
      <c r="AMJ23"/>
    </row>
    <row r="24" spans="1:1024" ht="15" x14ac:dyDescent="0.15">
      <c r="A24" s="8" t="s">
        <v>95</v>
      </c>
      <c r="B24" s="58"/>
      <c r="C24" s="8">
        <f t="shared" si="1"/>
        <v>19</v>
      </c>
      <c r="D24" s="8" t="s">
        <v>21</v>
      </c>
      <c r="E24" s="8" t="s">
        <v>84</v>
      </c>
      <c r="F24" s="8" t="s">
        <v>96</v>
      </c>
      <c r="G24" s="8" t="s">
        <v>36</v>
      </c>
      <c r="H24" s="8">
        <v>10</v>
      </c>
      <c r="I24" s="8" t="s">
        <v>97</v>
      </c>
      <c r="J24" s="8" t="s">
        <v>98</v>
      </c>
      <c r="K24" s="8" t="s">
        <v>27</v>
      </c>
      <c r="L24" s="8" t="s">
        <v>28</v>
      </c>
      <c r="M24" s="8" t="s">
        <v>99</v>
      </c>
      <c r="N24" s="2"/>
      <c r="O24" s="2"/>
      <c r="P24" s="8" t="s">
        <v>95</v>
      </c>
      <c r="Q24" s="8" t="s">
        <v>21</v>
      </c>
      <c r="R24" s="8" t="s">
        <v>84</v>
      </c>
      <c r="AMJ24"/>
    </row>
    <row r="25" spans="1:1024" ht="15" x14ac:dyDescent="0.15">
      <c r="A25" s="8" t="s">
        <v>95</v>
      </c>
      <c r="B25" s="58"/>
      <c r="C25" s="8">
        <f t="shared" si="1"/>
        <v>20</v>
      </c>
      <c r="D25" s="8" t="s">
        <v>21</v>
      </c>
      <c r="E25" s="8" t="s">
        <v>82</v>
      </c>
      <c r="F25" s="8" t="s">
        <v>96</v>
      </c>
      <c r="G25" s="8" t="s">
        <v>100</v>
      </c>
      <c r="H25" s="8">
        <v>23</v>
      </c>
      <c r="I25" s="8" t="s">
        <v>97</v>
      </c>
      <c r="J25" s="8" t="s">
        <v>98</v>
      </c>
      <c r="K25" s="8" t="s">
        <v>27</v>
      </c>
      <c r="L25" s="8" t="s">
        <v>28</v>
      </c>
      <c r="M25" s="8" t="s">
        <v>99</v>
      </c>
      <c r="N25" s="8"/>
      <c r="O25" s="8"/>
      <c r="P25" s="8" t="s">
        <v>95</v>
      </c>
      <c r="Q25" s="8" t="s">
        <v>21</v>
      </c>
      <c r="R25" s="8" t="s">
        <v>82</v>
      </c>
      <c r="AMJ25"/>
    </row>
    <row r="26" spans="1:1024" ht="15" x14ac:dyDescent="0.15">
      <c r="A26" s="8" t="s">
        <v>101</v>
      </c>
      <c r="B26" s="58"/>
      <c r="C26" s="8">
        <f t="shared" si="1"/>
        <v>21</v>
      </c>
      <c r="D26" s="8" t="s">
        <v>21</v>
      </c>
      <c r="E26" s="8" t="s">
        <v>102</v>
      </c>
      <c r="F26" s="8" t="s">
        <v>96</v>
      </c>
      <c r="G26" s="8" t="s">
        <v>24</v>
      </c>
      <c r="H26" s="8">
        <v>11</v>
      </c>
      <c r="I26" s="8" t="s">
        <v>103</v>
      </c>
      <c r="J26" s="8" t="s">
        <v>104</v>
      </c>
      <c r="K26" s="8" t="s">
        <v>27</v>
      </c>
      <c r="L26" s="8" t="s">
        <v>52</v>
      </c>
      <c r="M26" s="8" t="s">
        <v>105</v>
      </c>
      <c r="N26" s="54" t="s">
        <v>106</v>
      </c>
      <c r="O26" s="54" t="s">
        <v>107</v>
      </c>
      <c r="P26" s="8" t="s">
        <v>101</v>
      </c>
      <c r="Q26" s="8" t="s">
        <v>21</v>
      </c>
      <c r="R26" s="8" t="s">
        <v>102</v>
      </c>
      <c r="AMJ26"/>
    </row>
    <row r="27" spans="1:1024" ht="15" x14ac:dyDescent="0.15">
      <c r="A27" s="8" t="s">
        <v>101</v>
      </c>
      <c r="B27" s="58"/>
      <c r="C27" s="8">
        <f t="shared" si="1"/>
        <v>22</v>
      </c>
      <c r="D27" s="6" t="s">
        <v>21</v>
      </c>
      <c r="E27" s="6" t="s">
        <v>108</v>
      </c>
      <c r="F27" s="8" t="s">
        <v>96</v>
      </c>
      <c r="G27" s="8" t="s">
        <v>109</v>
      </c>
      <c r="H27" s="8">
        <v>24</v>
      </c>
      <c r="I27" s="8" t="s">
        <v>110</v>
      </c>
      <c r="J27" s="8" t="s">
        <v>104</v>
      </c>
      <c r="K27" s="8" t="s">
        <v>27</v>
      </c>
      <c r="L27" s="8" t="s">
        <v>52</v>
      </c>
      <c r="M27" s="8" t="s">
        <v>105</v>
      </c>
      <c r="N27" s="54"/>
      <c r="O27" s="54" t="s">
        <v>107</v>
      </c>
      <c r="P27" s="8" t="s">
        <v>101</v>
      </c>
      <c r="Q27" s="8" t="s">
        <v>21</v>
      </c>
      <c r="R27" s="8" t="s">
        <v>108</v>
      </c>
      <c r="AMJ27"/>
    </row>
    <row r="28" spans="1:1024" ht="28" x14ac:dyDescent="0.15">
      <c r="A28" s="8" t="s">
        <v>111</v>
      </c>
      <c r="B28" s="58"/>
      <c r="C28" s="8">
        <f t="shared" si="1"/>
        <v>23</v>
      </c>
      <c r="D28" s="8" t="s">
        <v>112</v>
      </c>
      <c r="E28" s="8" t="s">
        <v>113</v>
      </c>
      <c r="F28" s="8" t="s">
        <v>114</v>
      </c>
      <c r="G28" s="8" t="s">
        <v>115</v>
      </c>
      <c r="H28" s="8">
        <v>12</v>
      </c>
      <c r="I28" s="8" t="s">
        <v>110</v>
      </c>
      <c r="J28" s="8" t="s">
        <v>116</v>
      </c>
      <c r="K28" s="8" t="s">
        <v>27</v>
      </c>
      <c r="L28" s="8" t="s">
        <v>52</v>
      </c>
      <c r="M28" s="8" t="s">
        <v>105</v>
      </c>
      <c r="N28" s="7" t="s">
        <v>117</v>
      </c>
      <c r="O28" s="8"/>
      <c r="P28" s="8" t="s">
        <v>111</v>
      </c>
      <c r="Q28" s="8" t="s">
        <v>118</v>
      </c>
      <c r="R28" s="8" t="s">
        <v>119</v>
      </c>
      <c r="AMJ28"/>
    </row>
    <row r="29" spans="1:1024" ht="28" x14ac:dyDescent="0.15">
      <c r="A29" s="8" t="s">
        <v>111</v>
      </c>
      <c r="B29" s="58"/>
      <c r="C29" s="8">
        <f t="shared" si="1"/>
        <v>24</v>
      </c>
      <c r="D29" s="8" t="s">
        <v>112</v>
      </c>
      <c r="E29" s="8" t="s">
        <v>120</v>
      </c>
      <c r="F29" s="8" t="s">
        <v>114</v>
      </c>
      <c r="G29" s="8" t="s">
        <v>121</v>
      </c>
      <c r="H29" s="8">
        <v>25</v>
      </c>
      <c r="I29" s="8" t="s">
        <v>110</v>
      </c>
      <c r="J29" s="8" t="s">
        <v>116</v>
      </c>
      <c r="K29" s="8" t="s">
        <v>27</v>
      </c>
      <c r="L29" s="8" t="s">
        <v>52</v>
      </c>
      <c r="M29" s="8" t="s">
        <v>105</v>
      </c>
      <c r="N29" s="7" t="s">
        <v>122</v>
      </c>
      <c r="O29" s="8"/>
      <c r="P29" s="8" t="s">
        <v>111</v>
      </c>
      <c r="Q29" s="8" t="s">
        <v>118</v>
      </c>
      <c r="R29" s="8" t="s">
        <v>123</v>
      </c>
      <c r="AMJ29"/>
    </row>
    <row r="30" spans="1:1024" x14ac:dyDescent="0.15">
      <c r="A30" s="61" t="s">
        <v>124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4"/>
      <c r="P30" s="4"/>
      <c r="Q30" s="4"/>
      <c r="R30" s="4"/>
      <c r="AMJ30"/>
    </row>
    <row r="31" spans="1:1024" x14ac:dyDescent="0.15">
      <c r="A31" s="61" t="s">
        <v>125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4"/>
      <c r="P31" s="4"/>
      <c r="Q31" s="4"/>
      <c r="R31" s="4"/>
      <c r="AMJ31"/>
    </row>
    <row r="32" spans="1:1024" ht="13.25" customHeight="1" x14ac:dyDescent="0.15">
      <c r="A32" s="61" t="s">
        <v>126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4"/>
      <c r="P32" s="4"/>
      <c r="Q32" s="4"/>
      <c r="R32" s="4"/>
      <c r="AMJ32"/>
    </row>
    <row r="33" spans="1:1024" x14ac:dyDescent="0.15">
      <c r="C33" s="9"/>
      <c r="D33" s="9"/>
      <c r="E33" s="9"/>
      <c r="F33" s="9"/>
      <c r="G33" s="9"/>
      <c r="H33" s="9"/>
      <c r="I33" s="9"/>
      <c r="AMJ33"/>
    </row>
    <row r="34" spans="1:1024" x14ac:dyDescent="0.15">
      <c r="A34" s="15"/>
      <c r="B34" s="60" t="s">
        <v>127</v>
      </c>
      <c r="C34" s="60"/>
      <c r="D34" s="60"/>
      <c r="E34" s="60"/>
      <c r="F34" s="60"/>
      <c r="G34" s="60"/>
      <c r="H34" s="9"/>
      <c r="I34" s="9"/>
    </row>
    <row r="35" spans="1:1024" x14ac:dyDescent="0.15">
      <c r="A35" s="16"/>
      <c r="B35" s="60" t="s">
        <v>128</v>
      </c>
      <c r="C35" s="60"/>
      <c r="D35" s="60"/>
      <c r="E35" s="60"/>
      <c r="F35" s="60"/>
      <c r="G35" s="60"/>
      <c r="H35" s="9"/>
      <c r="I35" s="9"/>
    </row>
    <row r="36" spans="1:1024" x14ac:dyDescent="0.15">
      <c r="A36" s="17"/>
      <c r="B36" s="60" t="s">
        <v>129</v>
      </c>
      <c r="C36" s="60"/>
      <c r="D36" s="60"/>
      <c r="E36" s="60"/>
      <c r="F36" s="60"/>
      <c r="G36" s="60"/>
      <c r="H36" s="9"/>
      <c r="I36" s="9"/>
    </row>
    <row r="37" spans="1:1024" x14ac:dyDescent="0.15">
      <c r="A37" s="3" t="s">
        <v>130</v>
      </c>
      <c r="B37" s="60" t="s">
        <v>131</v>
      </c>
      <c r="C37" s="60"/>
      <c r="D37" s="60"/>
      <c r="E37" s="60"/>
      <c r="F37" s="60"/>
      <c r="G37" s="60"/>
      <c r="H37" s="9"/>
      <c r="I37" s="9"/>
    </row>
    <row r="43" spans="1:1024" x14ac:dyDescent="0.15">
      <c r="A43" s="63" t="s">
        <v>0</v>
      </c>
      <c r="B43" s="63"/>
      <c r="C43" s="65" t="s">
        <v>1</v>
      </c>
      <c r="D43" s="66"/>
      <c r="E43" s="67"/>
      <c r="F43" s="68" t="s">
        <v>132</v>
      </c>
      <c r="G43" s="69"/>
      <c r="H43" s="69"/>
      <c r="I43" s="69"/>
      <c r="J43" s="70"/>
      <c r="K43" s="63" t="s">
        <v>4</v>
      </c>
      <c r="L43" s="65" t="s">
        <v>6</v>
      </c>
      <c r="M43" s="66"/>
      <c r="N43" s="66"/>
      <c r="O43" s="67"/>
    </row>
    <row r="44" spans="1:1024" ht="46" x14ac:dyDescent="0.15">
      <c r="A44" s="64"/>
      <c r="B44" s="64"/>
      <c r="C44" s="7" t="s">
        <v>7</v>
      </c>
      <c r="D44" s="7" t="s">
        <v>133</v>
      </c>
      <c r="E44" s="7" t="s">
        <v>9</v>
      </c>
      <c r="F44" s="7" t="s">
        <v>12</v>
      </c>
      <c r="G44" s="7" t="s">
        <v>13</v>
      </c>
      <c r="H44" s="18" t="s">
        <v>14</v>
      </c>
      <c r="I44" s="7" t="s">
        <v>15</v>
      </c>
      <c r="J44" s="7" t="s">
        <v>134</v>
      </c>
      <c r="K44" s="64"/>
      <c r="L44" s="2" t="s">
        <v>5</v>
      </c>
      <c r="M44" s="2" t="s">
        <v>0</v>
      </c>
      <c r="N44" s="7" t="s">
        <v>135</v>
      </c>
      <c r="O44" s="7" t="s">
        <v>11</v>
      </c>
    </row>
    <row r="45" spans="1:1024" ht="16" x14ac:dyDescent="0.15">
      <c r="A45" s="19" t="s">
        <v>136</v>
      </c>
      <c r="B45" s="71" t="s">
        <v>137</v>
      </c>
      <c r="C45" s="20">
        <v>1</v>
      </c>
      <c r="D45" s="20" t="s">
        <v>138</v>
      </c>
      <c r="E45" s="20" t="s">
        <v>74</v>
      </c>
      <c r="F45" s="20">
        <v>1</v>
      </c>
      <c r="G45" s="20" t="s">
        <v>139</v>
      </c>
      <c r="H45" s="20"/>
      <c r="I45" s="20"/>
      <c r="J45" s="20" t="s">
        <v>35</v>
      </c>
      <c r="K45" s="21"/>
      <c r="L45" s="19"/>
      <c r="M45" s="19" t="s">
        <v>136</v>
      </c>
      <c r="N45" s="20" t="s">
        <v>138</v>
      </c>
      <c r="O45" s="20" t="s">
        <v>74</v>
      </c>
    </row>
    <row r="46" spans="1:1024" ht="16" x14ac:dyDescent="0.15">
      <c r="A46" s="19" t="s">
        <v>195</v>
      </c>
      <c r="B46" s="72"/>
      <c r="C46" s="20">
        <f t="shared" ref="C46:C55" si="2">C45+1</f>
        <v>2</v>
      </c>
      <c r="D46" s="20" t="s">
        <v>138</v>
      </c>
      <c r="E46" s="20" t="s">
        <v>74</v>
      </c>
      <c r="F46" s="20">
        <v>2</v>
      </c>
      <c r="G46" s="20" t="s">
        <v>143</v>
      </c>
      <c r="H46" s="20"/>
      <c r="I46" s="20"/>
      <c r="J46" s="20" t="s">
        <v>22</v>
      </c>
      <c r="K46" s="21"/>
      <c r="L46" s="19"/>
      <c r="M46" s="19" t="s">
        <v>136</v>
      </c>
      <c r="N46" s="20" t="s">
        <v>138</v>
      </c>
      <c r="O46" s="20" t="s">
        <v>74</v>
      </c>
    </row>
    <row r="47" spans="1:1024" x14ac:dyDescent="0.15">
      <c r="A47" s="8"/>
      <c r="B47" s="72"/>
      <c r="C47" s="8">
        <f t="shared" si="2"/>
        <v>3</v>
      </c>
      <c r="D47" s="8"/>
      <c r="E47" s="8"/>
      <c r="F47" s="8">
        <v>14</v>
      </c>
      <c r="G47" s="8" t="s">
        <v>47</v>
      </c>
      <c r="H47" s="8"/>
      <c r="I47" s="8"/>
      <c r="J47" s="8"/>
      <c r="K47" s="2"/>
      <c r="L47" s="22" t="s">
        <v>140</v>
      </c>
      <c r="M47" s="22" t="s">
        <v>141</v>
      </c>
      <c r="N47" s="22" t="s">
        <v>142</v>
      </c>
      <c r="O47" s="22" t="s">
        <v>69</v>
      </c>
    </row>
    <row r="48" spans="1:1024" ht="15" x14ac:dyDescent="0.15">
      <c r="A48" s="23" t="s">
        <v>144</v>
      </c>
      <c r="B48" s="72"/>
      <c r="C48" s="23">
        <f t="shared" si="2"/>
        <v>4</v>
      </c>
      <c r="D48" s="23" t="s">
        <v>138</v>
      </c>
      <c r="E48" s="23" t="s">
        <v>40</v>
      </c>
      <c r="F48" s="23">
        <v>15</v>
      </c>
      <c r="G48" s="23" t="s">
        <v>139</v>
      </c>
      <c r="H48" s="23"/>
      <c r="I48" s="23"/>
      <c r="J48" s="6" t="s">
        <v>40</v>
      </c>
      <c r="K48" s="24" t="s">
        <v>145</v>
      </c>
      <c r="L48" s="23" t="s">
        <v>146</v>
      </c>
      <c r="M48" s="23" t="s">
        <v>144</v>
      </c>
      <c r="N48" s="23" t="s">
        <v>138</v>
      </c>
      <c r="O48" s="23" t="s">
        <v>40</v>
      </c>
    </row>
    <row r="49" spans="1:15" ht="15" x14ac:dyDescent="0.15">
      <c r="A49" s="23" t="s">
        <v>144</v>
      </c>
      <c r="B49" s="72"/>
      <c r="C49" s="23">
        <f t="shared" si="2"/>
        <v>5</v>
      </c>
      <c r="D49" s="23" t="s">
        <v>138</v>
      </c>
      <c r="E49" s="23" t="s">
        <v>40</v>
      </c>
      <c r="F49" s="23">
        <v>3</v>
      </c>
      <c r="G49" s="23" t="s">
        <v>147</v>
      </c>
      <c r="H49" s="23"/>
      <c r="I49" s="23"/>
      <c r="J49" s="6" t="s">
        <v>46</v>
      </c>
      <c r="K49" s="24" t="s">
        <v>145</v>
      </c>
      <c r="L49" s="23" t="s">
        <v>146</v>
      </c>
      <c r="M49" s="23" t="s">
        <v>144</v>
      </c>
      <c r="N49" s="23" t="s">
        <v>138</v>
      </c>
      <c r="O49" s="23" t="s">
        <v>40</v>
      </c>
    </row>
    <row r="50" spans="1:15" x14ac:dyDescent="0.15">
      <c r="A50" s="45" t="s">
        <v>207</v>
      </c>
      <c r="B50" s="72"/>
      <c r="C50" s="47">
        <f t="shared" si="2"/>
        <v>6</v>
      </c>
      <c r="D50" s="47"/>
      <c r="E50" s="47"/>
      <c r="F50" s="47">
        <v>16</v>
      </c>
      <c r="G50" s="47" t="s">
        <v>47</v>
      </c>
      <c r="H50" s="47"/>
      <c r="I50" s="48"/>
      <c r="J50" s="49"/>
      <c r="K50" s="74"/>
      <c r="L50" s="76"/>
      <c r="M50" s="47"/>
      <c r="N50" s="47" t="s">
        <v>167</v>
      </c>
      <c r="O50" s="47" t="s">
        <v>60</v>
      </c>
    </row>
    <row r="51" spans="1:15" x14ac:dyDescent="0.15">
      <c r="A51" s="47" t="s">
        <v>208</v>
      </c>
      <c r="B51" s="72"/>
      <c r="C51" s="47">
        <f t="shared" si="2"/>
        <v>7</v>
      </c>
      <c r="D51" s="47"/>
      <c r="E51" s="47"/>
      <c r="F51" s="47">
        <v>4</v>
      </c>
      <c r="G51" s="47" t="s">
        <v>147</v>
      </c>
      <c r="H51" s="47"/>
      <c r="I51" s="48"/>
      <c r="J51" s="49"/>
      <c r="K51" s="75"/>
      <c r="L51" s="77"/>
      <c r="M51" s="47"/>
      <c r="N51" s="47" t="s">
        <v>171</v>
      </c>
      <c r="O51" s="47" t="s">
        <v>60</v>
      </c>
    </row>
    <row r="52" spans="1:15" x14ac:dyDescent="0.15">
      <c r="A52" s="8" t="s">
        <v>202</v>
      </c>
      <c r="B52" s="72"/>
      <c r="C52" s="8">
        <f t="shared" si="2"/>
        <v>8</v>
      </c>
      <c r="D52" s="8"/>
      <c r="E52" s="8"/>
      <c r="F52" s="8">
        <v>17</v>
      </c>
      <c r="G52" s="8" t="s">
        <v>25</v>
      </c>
      <c r="H52" s="8"/>
      <c r="I52" s="8"/>
      <c r="J52" s="8"/>
      <c r="K52" s="25"/>
      <c r="L52" s="22"/>
      <c r="M52" s="22"/>
      <c r="N52" s="22" t="s">
        <v>142</v>
      </c>
      <c r="O52" s="22" t="s">
        <v>65</v>
      </c>
    </row>
    <row r="53" spans="1:15" x14ac:dyDescent="0.15">
      <c r="A53" s="8" t="s">
        <v>203</v>
      </c>
      <c r="B53" s="72"/>
      <c r="C53" s="8">
        <f t="shared" si="2"/>
        <v>9</v>
      </c>
      <c r="D53" s="8"/>
      <c r="E53" s="8"/>
      <c r="F53" s="8">
        <v>5</v>
      </c>
      <c r="G53" s="8" t="s">
        <v>47</v>
      </c>
      <c r="H53" s="8"/>
      <c r="I53" s="8"/>
      <c r="J53" s="8"/>
      <c r="K53" s="26"/>
      <c r="L53" s="22"/>
      <c r="M53" s="22"/>
      <c r="N53" s="22" t="s">
        <v>142</v>
      </c>
      <c r="O53" s="22" t="s">
        <v>35</v>
      </c>
    </row>
    <row r="54" spans="1:15" x14ac:dyDescent="0.15">
      <c r="A54" s="8" t="s">
        <v>214</v>
      </c>
      <c r="B54" s="72"/>
      <c r="C54" s="8">
        <f t="shared" si="2"/>
        <v>10</v>
      </c>
      <c r="D54" s="8"/>
      <c r="E54" s="8"/>
      <c r="F54" s="8">
        <v>18</v>
      </c>
      <c r="G54" s="8" t="s">
        <v>25</v>
      </c>
      <c r="H54" s="8"/>
      <c r="I54" s="8"/>
      <c r="J54" s="8"/>
      <c r="K54" s="26"/>
      <c r="L54" s="22"/>
      <c r="M54" s="22"/>
      <c r="N54" s="22" t="s">
        <v>142</v>
      </c>
      <c r="O54" s="22" t="s">
        <v>40</v>
      </c>
    </row>
    <row r="55" spans="1:15" x14ac:dyDescent="0.15">
      <c r="A55" s="8" t="s">
        <v>215</v>
      </c>
      <c r="B55" s="72"/>
      <c r="C55" s="8">
        <f t="shared" si="2"/>
        <v>11</v>
      </c>
      <c r="D55" s="8"/>
      <c r="E55" s="8"/>
      <c r="F55" s="8">
        <v>6</v>
      </c>
      <c r="G55" s="8" t="s">
        <v>147</v>
      </c>
      <c r="H55" s="8"/>
      <c r="I55" s="8"/>
      <c r="J55" s="8"/>
      <c r="K55" s="26"/>
      <c r="L55" s="22"/>
      <c r="M55" s="22"/>
      <c r="N55" s="22" t="s">
        <v>142</v>
      </c>
      <c r="O55" s="22" t="s">
        <v>45</v>
      </c>
    </row>
    <row r="56" spans="1:15" x14ac:dyDescent="0.15">
      <c r="A56" s="8"/>
      <c r="B56" s="72"/>
      <c r="C56" s="8"/>
      <c r="D56" s="8"/>
      <c r="E56" s="8"/>
      <c r="F56" s="8"/>
      <c r="G56" s="8"/>
      <c r="H56" s="8"/>
      <c r="I56" s="8"/>
      <c r="J56" s="8"/>
      <c r="K56" s="26"/>
      <c r="L56" s="22"/>
      <c r="M56" s="22"/>
      <c r="N56" s="22"/>
      <c r="O56" s="22"/>
    </row>
    <row r="57" spans="1:15" x14ac:dyDescent="0.15">
      <c r="A57" s="8"/>
      <c r="B57" s="72"/>
      <c r="C57" s="8"/>
      <c r="D57" s="8"/>
      <c r="E57" s="8"/>
      <c r="F57" s="8"/>
      <c r="G57" s="8"/>
      <c r="H57" s="8"/>
      <c r="I57" s="8"/>
      <c r="J57" s="8"/>
      <c r="K57" s="26"/>
      <c r="L57" s="22"/>
      <c r="M57" s="22"/>
      <c r="N57" s="22"/>
      <c r="O57" s="22"/>
    </row>
    <row r="58" spans="1:15" ht="14" x14ac:dyDescent="0.15">
      <c r="A58" s="27" t="s">
        <v>159</v>
      </c>
      <c r="B58" s="72"/>
      <c r="C58" s="28">
        <f>C55+1</f>
        <v>12</v>
      </c>
      <c r="D58" s="28" t="s">
        <v>138</v>
      </c>
      <c r="E58" s="28" t="s">
        <v>60</v>
      </c>
      <c r="F58" s="28">
        <v>19</v>
      </c>
      <c r="G58" s="28" t="s">
        <v>86</v>
      </c>
      <c r="H58" s="28"/>
      <c r="I58" s="28"/>
      <c r="J58" s="28" t="s">
        <v>69</v>
      </c>
      <c r="K58" s="29"/>
      <c r="L58" s="27"/>
      <c r="M58" s="27" t="s">
        <v>159</v>
      </c>
      <c r="N58" s="28" t="s">
        <v>138</v>
      </c>
      <c r="O58" s="28" t="s">
        <v>60</v>
      </c>
    </row>
    <row r="59" spans="1:15" ht="14" x14ac:dyDescent="0.15">
      <c r="A59" s="27" t="s">
        <v>159</v>
      </c>
      <c r="B59" s="72"/>
      <c r="C59" s="28">
        <f t="shared" ref="C59:C70" si="3">C58+1</f>
        <v>13</v>
      </c>
      <c r="D59" s="28" t="s">
        <v>138</v>
      </c>
      <c r="E59" s="28" t="s">
        <v>60</v>
      </c>
      <c r="F59" s="28">
        <v>7</v>
      </c>
      <c r="G59" s="28" t="s">
        <v>47</v>
      </c>
      <c r="H59" s="28"/>
      <c r="I59" s="28"/>
      <c r="J59" s="28" t="s">
        <v>84</v>
      </c>
      <c r="K59" s="29"/>
      <c r="L59" s="27"/>
      <c r="M59" s="27" t="s">
        <v>159</v>
      </c>
      <c r="N59" s="28" t="s">
        <v>138</v>
      </c>
      <c r="O59" s="28" t="s">
        <v>60</v>
      </c>
    </row>
    <row r="60" spans="1:15" ht="16" x14ac:dyDescent="0.15">
      <c r="A60" s="30" t="s">
        <v>160</v>
      </c>
      <c r="B60" s="72"/>
      <c r="C60" s="31">
        <f t="shared" si="3"/>
        <v>14</v>
      </c>
      <c r="D60" s="31" t="s">
        <v>138</v>
      </c>
      <c r="E60" s="31" t="s">
        <v>45</v>
      </c>
      <c r="F60" s="31">
        <v>20</v>
      </c>
      <c r="G60" s="31" t="s">
        <v>25</v>
      </c>
      <c r="H60" s="31"/>
      <c r="I60" s="31"/>
      <c r="J60" s="31" t="s">
        <v>74</v>
      </c>
      <c r="K60" s="32"/>
      <c r="L60" s="30"/>
      <c r="M60" s="30" t="s">
        <v>160</v>
      </c>
      <c r="N60" s="31" t="s">
        <v>138</v>
      </c>
      <c r="O60" s="31" t="s">
        <v>45</v>
      </c>
    </row>
    <row r="61" spans="1:15" ht="16" x14ac:dyDescent="0.15">
      <c r="A61" s="30" t="s">
        <v>160</v>
      </c>
      <c r="B61" s="72"/>
      <c r="C61" s="31">
        <f t="shared" si="3"/>
        <v>15</v>
      </c>
      <c r="D61" s="31" t="s">
        <v>138</v>
      </c>
      <c r="E61" s="31" t="s">
        <v>45</v>
      </c>
      <c r="F61" s="31">
        <v>8</v>
      </c>
      <c r="G61" s="31" t="s">
        <v>25</v>
      </c>
      <c r="H61" s="31"/>
      <c r="I61" s="31"/>
      <c r="J61" s="31" t="s">
        <v>82</v>
      </c>
      <c r="K61" s="32"/>
      <c r="L61" s="30"/>
      <c r="M61" s="30" t="s">
        <v>160</v>
      </c>
      <c r="N61" s="31" t="s">
        <v>138</v>
      </c>
      <c r="O61" s="31" t="s">
        <v>45</v>
      </c>
    </row>
    <row r="62" spans="1:15" x14ac:dyDescent="0.15">
      <c r="A62" s="52"/>
      <c r="B62" s="72"/>
      <c r="C62" s="8">
        <f t="shared" si="3"/>
        <v>16</v>
      </c>
      <c r="D62" s="8"/>
      <c r="E62" s="8"/>
      <c r="F62" s="8">
        <v>21</v>
      </c>
      <c r="G62" s="8" t="s">
        <v>161</v>
      </c>
      <c r="H62" s="8"/>
      <c r="I62" s="8"/>
      <c r="J62" s="8"/>
      <c r="K62" s="2"/>
      <c r="L62" s="53" t="s">
        <v>140</v>
      </c>
      <c r="M62" s="53" t="s">
        <v>141</v>
      </c>
      <c r="N62" s="53" t="s">
        <v>142</v>
      </c>
      <c r="O62" s="53" t="s">
        <v>74</v>
      </c>
    </row>
    <row r="63" spans="1:15" x14ac:dyDescent="0.15">
      <c r="A63" s="47" t="s">
        <v>206</v>
      </c>
      <c r="B63" s="72"/>
      <c r="C63" s="47">
        <f t="shared" si="3"/>
        <v>17</v>
      </c>
      <c r="D63" s="47"/>
      <c r="E63" s="47"/>
      <c r="F63" s="47">
        <v>9</v>
      </c>
      <c r="G63" s="47" t="s">
        <v>70</v>
      </c>
      <c r="H63" s="47"/>
      <c r="I63" s="48"/>
      <c r="J63" s="49"/>
      <c r="K63" s="74"/>
      <c r="L63" s="76"/>
      <c r="M63" s="47"/>
      <c r="N63" s="47" t="s">
        <v>167</v>
      </c>
      <c r="O63" s="47" t="s">
        <v>22</v>
      </c>
    </row>
    <row r="64" spans="1:15" x14ac:dyDescent="0.15">
      <c r="A64" s="47" t="s">
        <v>209</v>
      </c>
      <c r="B64" s="72"/>
      <c r="C64" s="47">
        <f t="shared" si="3"/>
        <v>18</v>
      </c>
      <c r="D64" s="47"/>
      <c r="E64" s="47"/>
      <c r="F64" s="47">
        <v>22</v>
      </c>
      <c r="G64" s="47" t="s">
        <v>147</v>
      </c>
      <c r="H64" s="47"/>
      <c r="I64" s="48"/>
      <c r="J64" s="49"/>
      <c r="K64" s="75"/>
      <c r="L64" s="77"/>
      <c r="M64" s="47"/>
      <c r="N64" s="47" t="s">
        <v>171</v>
      </c>
      <c r="O64" s="47" t="s">
        <v>22</v>
      </c>
    </row>
    <row r="65" spans="1:15" ht="16" x14ac:dyDescent="0.15">
      <c r="A65" s="33" t="s">
        <v>163</v>
      </c>
      <c r="B65" s="72"/>
      <c r="C65" s="34">
        <f t="shared" si="3"/>
        <v>19</v>
      </c>
      <c r="D65" s="34" t="s">
        <v>138</v>
      </c>
      <c r="E65" s="34" t="s">
        <v>35</v>
      </c>
      <c r="F65" s="34">
        <v>10</v>
      </c>
      <c r="G65" s="34" t="s">
        <v>86</v>
      </c>
      <c r="H65" s="34"/>
      <c r="I65" s="34"/>
      <c r="J65" s="34" t="s">
        <v>164</v>
      </c>
      <c r="K65" s="35"/>
      <c r="L65" s="33"/>
      <c r="M65" s="33" t="s">
        <v>163</v>
      </c>
      <c r="N65" s="34" t="s">
        <v>138</v>
      </c>
      <c r="O65" s="34" t="s">
        <v>35</v>
      </c>
    </row>
    <row r="66" spans="1:15" ht="16" x14ac:dyDescent="0.15">
      <c r="A66" s="33" t="s">
        <v>163</v>
      </c>
      <c r="B66" s="72"/>
      <c r="C66" s="34">
        <f t="shared" si="3"/>
        <v>20</v>
      </c>
      <c r="D66" s="34" t="s">
        <v>138</v>
      </c>
      <c r="E66" s="34" t="s">
        <v>35</v>
      </c>
      <c r="F66" s="34">
        <v>23</v>
      </c>
      <c r="G66" s="34" t="s">
        <v>165</v>
      </c>
      <c r="H66" s="34"/>
      <c r="I66" s="34"/>
      <c r="J66" s="34" t="s">
        <v>75</v>
      </c>
      <c r="K66" s="35"/>
      <c r="L66" s="36"/>
      <c r="M66" s="33" t="s">
        <v>163</v>
      </c>
      <c r="N66" s="34" t="s">
        <v>138</v>
      </c>
      <c r="O66" s="34" t="s">
        <v>35</v>
      </c>
    </row>
    <row r="67" spans="1:15" x14ac:dyDescent="0.15">
      <c r="A67" s="8" t="s">
        <v>212</v>
      </c>
      <c r="B67" s="72"/>
      <c r="C67" s="8">
        <f t="shared" si="3"/>
        <v>21</v>
      </c>
      <c r="D67" s="8"/>
      <c r="E67" s="8"/>
      <c r="F67" s="8">
        <v>11</v>
      </c>
      <c r="G67" s="8" t="s">
        <v>165</v>
      </c>
      <c r="H67" s="8" t="s">
        <v>168</v>
      </c>
      <c r="I67" s="8" t="s">
        <v>169</v>
      </c>
      <c r="J67" s="2"/>
      <c r="K67" s="2"/>
      <c r="L67" s="8"/>
      <c r="M67" s="8" t="s">
        <v>166</v>
      </c>
      <c r="N67" s="8" t="s">
        <v>142</v>
      </c>
      <c r="O67" s="8" t="s">
        <v>22</v>
      </c>
    </row>
    <row r="68" spans="1:15" x14ac:dyDescent="0.15">
      <c r="A68" s="8" t="s">
        <v>213</v>
      </c>
      <c r="B68" s="72"/>
      <c r="C68" s="8">
        <f t="shared" si="3"/>
        <v>22</v>
      </c>
      <c r="D68" s="8"/>
      <c r="E68" s="8"/>
      <c r="F68" s="8" t="s">
        <v>204</v>
      </c>
      <c r="G68" s="8" t="s">
        <v>165</v>
      </c>
      <c r="H68" s="8" t="s">
        <v>168</v>
      </c>
      <c r="I68" s="8" t="s">
        <v>169</v>
      </c>
      <c r="J68" s="2"/>
      <c r="K68" s="2"/>
      <c r="L68" s="8"/>
      <c r="M68" s="8" t="s">
        <v>170</v>
      </c>
      <c r="N68" s="8" t="s">
        <v>142</v>
      </c>
      <c r="O68" s="8" t="s">
        <v>71</v>
      </c>
    </row>
    <row r="69" spans="1:15" x14ac:dyDescent="0.15">
      <c r="A69" s="8" t="s">
        <v>216</v>
      </c>
      <c r="B69" s="72"/>
      <c r="C69" s="8">
        <f t="shared" si="3"/>
        <v>23</v>
      </c>
      <c r="D69" s="8"/>
      <c r="E69" s="8"/>
      <c r="F69" s="8">
        <v>12</v>
      </c>
      <c r="G69" s="8" t="s">
        <v>173</v>
      </c>
      <c r="H69" s="8" t="s">
        <v>168</v>
      </c>
      <c r="I69" s="8" t="s">
        <v>169</v>
      </c>
      <c r="J69" s="2"/>
      <c r="K69" s="2"/>
      <c r="L69" s="8"/>
      <c r="M69" s="8" t="s">
        <v>172</v>
      </c>
      <c r="N69" s="8" t="s">
        <v>142</v>
      </c>
      <c r="O69" s="8" t="s">
        <v>60</v>
      </c>
    </row>
    <row r="70" spans="1:15" x14ac:dyDescent="0.15">
      <c r="A70" s="41" t="s">
        <v>210</v>
      </c>
      <c r="B70" s="72"/>
      <c r="C70" s="41">
        <f t="shared" si="3"/>
        <v>24</v>
      </c>
      <c r="D70" s="41"/>
      <c r="E70" s="41" t="s">
        <v>60</v>
      </c>
      <c r="F70" s="41"/>
      <c r="G70" s="41"/>
      <c r="H70" s="41"/>
      <c r="I70" s="41"/>
      <c r="J70" s="42"/>
      <c r="K70" s="42"/>
      <c r="L70" s="41"/>
      <c r="M70" s="41"/>
      <c r="N70" s="41"/>
      <c r="O70" s="41"/>
    </row>
    <row r="71" spans="1:15" x14ac:dyDescent="0.15">
      <c r="A71" s="8"/>
      <c r="B71" s="72"/>
      <c r="C71" s="8"/>
      <c r="D71" s="8"/>
      <c r="E71" s="8"/>
      <c r="F71" s="8"/>
      <c r="G71" s="8"/>
      <c r="H71" s="8"/>
      <c r="I71" s="8"/>
      <c r="J71" s="8"/>
      <c r="K71" s="78" t="s">
        <v>175</v>
      </c>
      <c r="L71" s="22"/>
      <c r="M71" s="22" t="s">
        <v>176</v>
      </c>
      <c r="N71" s="22" t="s">
        <v>167</v>
      </c>
      <c r="O71" s="22" t="s">
        <v>40</v>
      </c>
    </row>
    <row r="72" spans="1:15" x14ac:dyDescent="0.15">
      <c r="A72" s="8"/>
      <c r="B72" s="73"/>
      <c r="C72" s="8"/>
      <c r="D72" s="8"/>
      <c r="E72" s="8"/>
      <c r="F72" s="8"/>
      <c r="G72" s="8"/>
      <c r="H72" s="8"/>
      <c r="I72" s="8"/>
      <c r="J72" s="8"/>
      <c r="K72" s="79"/>
      <c r="L72" s="22"/>
      <c r="M72" s="22" t="s">
        <v>177</v>
      </c>
      <c r="N72" s="22" t="s">
        <v>171</v>
      </c>
      <c r="O72" s="22" t="s">
        <v>40</v>
      </c>
    </row>
    <row r="73" spans="1:15" x14ac:dyDescent="0.1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</row>
    <row r="74" spans="1:15" x14ac:dyDescent="0.1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</row>
  </sheetData>
  <mergeCells count="69">
    <mergeCell ref="A73:O73"/>
    <mergeCell ref="A74:O74"/>
    <mergeCell ref="A43:A44"/>
    <mergeCell ref="B43:B44"/>
    <mergeCell ref="C43:E43"/>
    <mergeCell ref="F43:J43"/>
    <mergeCell ref="K43:K44"/>
    <mergeCell ref="L43:O43"/>
    <mergeCell ref="B45:B72"/>
    <mergeCell ref="K50:K51"/>
    <mergeCell ref="L50:L51"/>
    <mergeCell ref="K63:K64"/>
    <mergeCell ref="L63:L64"/>
    <mergeCell ref="K71:K72"/>
    <mergeCell ref="B37:G37"/>
    <mergeCell ref="A30:N30"/>
    <mergeCell ref="A31:N31"/>
    <mergeCell ref="A32:N32"/>
    <mergeCell ref="B34:G34"/>
    <mergeCell ref="B35:G35"/>
    <mergeCell ref="B36:G36"/>
    <mergeCell ref="N16:N19"/>
    <mergeCell ref="N20:N21"/>
    <mergeCell ref="O20:O21"/>
    <mergeCell ref="N22:N23"/>
    <mergeCell ref="N26:N27"/>
    <mergeCell ref="O26:O27"/>
    <mergeCell ref="I14:I15"/>
    <mergeCell ref="J14:J15"/>
    <mergeCell ref="R14:R15"/>
    <mergeCell ref="L12:L13"/>
    <mergeCell ref="M12:M13"/>
    <mergeCell ref="P12:P13"/>
    <mergeCell ref="Q12:Q13"/>
    <mergeCell ref="R12:R13"/>
    <mergeCell ref="K14:K15"/>
    <mergeCell ref="L14:L15"/>
    <mergeCell ref="M14:M15"/>
    <mergeCell ref="P14:P15"/>
    <mergeCell ref="Q14:Q15"/>
    <mergeCell ref="N8:N9"/>
    <mergeCell ref="O8:O9"/>
    <mergeCell ref="N10:N15"/>
    <mergeCell ref="O10:O15"/>
    <mergeCell ref="A12:A13"/>
    <mergeCell ref="C12:C13"/>
    <mergeCell ref="H12:H13"/>
    <mergeCell ref="I12:I13"/>
    <mergeCell ref="J12:J13"/>
    <mergeCell ref="K12:K13"/>
    <mergeCell ref="B4:B29"/>
    <mergeCell ref="N4:N5"/>
    <mergeCell ref="O4:O5"/>
    <mergeCell ref="A14:A15"/>
    <mergeCell ref="C14:C15"/>
    <mergeCell ref="H14:H15"/>
    <mergeCell ref="P4:R4"/>
    <mergeCell ref="P5:R5"/>
    <mergeCell ref="A2:A3"/>
    <mergeCell ref="B2:B3"/>
    <mergeCell ref="C2:G2"/>
    <mergeCell ref="H2:L2"/>
    <mergeCell ref="M2:M3"/>
    <mergeCell ref="N2:N3"/>
    <mergeCell ref="O2:O3"/>
    <mergeCell ref="P2:R2"/>
    <mergeCell ref="D3:E3"/>
    <mergeCell ref="F3:G3"/>
    <mergeCell ref="Q3:R3"/>
  </mergeCells>
  <pageMargins left="0.186805555555556" right="0.140277777777778" top="1.0263888888888899" bottom="1.0263888888888899" header="0.78749999999999998" footer="0.78749999999999998"/>
  <pageSetup paperSize="0" scale="0" orientation="portrait" usePrinterDefaults="0" useFirstPageNumber="1" horizontalDpi="0" verticalDpi="0" copies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Sandoval</dc:creator>
  <dc:description/>
  <cp:lastModifiedBy>Xiong, Junwen</cp:lastModifiedBy>
  <cp:revision>278</cp:revision>
  <cp:lastPrinted>2016-05-18T16:18:39Z</cp:lastPrinted>
  <dcterms:created xsi:type="dcterms:W3CDTF">2016-03-21T15:40:54Z</dcterms:created>
  <dcterms:modified xsi:type="dcterms:W3CDTF">2026-04-23T22:15:07Z</dcterms:modified>
  <dc:language>en-US</dc:language>
</cp:coreProperties>
</file>